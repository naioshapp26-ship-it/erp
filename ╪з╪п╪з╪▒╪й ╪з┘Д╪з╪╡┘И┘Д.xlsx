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ame\Desktop\"/>
    </mc:Choice>
  </mc:AlternateContent>
  <xr:revisionPtr revIDLastSave="0" documentId="8_{ED3B003C-2163-474C-9A5C-5094E2D0A16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نظام الترقيم" sheetId="1" r:id="rId1"/>
    <sheet name="السجل الرئيسي للأصول" sheetId="2" r:id="rId2"/>
    <sheet name="تصنيف الأصول" sheetId="3" r:id="rId3"/>
    <sheet name="لوحة التحكم" sheetId="4" r:id="rId4"/>
    <sheet name="المستود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" i="4" l="1"/>
  <c r="C33" i="4"/>
  <c r="F38" i="4" s="1" a="1"/>
  <c r="F38" i="4" s="1"/>
  <c r="C32" i="4"/>
  <c r="D31" i="4"/>
  <c r="C31" i="4"/>
  <c r="I25" i="4"/>
  <c r="I24" i="4"/>
  <c r="I23" i="4"/>
  <c r="I22" i="4"/>
  <c r="I21" i="4"/>
  <c r="J21" i="4" s="1"/>
  <c r="C16" i="4"/>
  <c r="D16" i="4" s="1"/>
  <c r="C15" i="4"/>
  <c r="D14" i="4"/>
  <c r="C14" i="4"/>
  <c r="C13" i="4"/>
  <c r="C12" i="4"/>
  <c r="I7" i="4"/>
  <c r="G7" i="4"/>
  <c r="E7" i="4"/>
  <c r="C7" i="4"/>
  <c r="A7" i="4"/>
  <c r="F39" i="4" l="1"/>
  <c r="D33" i="4"/>
  <c r="D32" i="4"/>
  <c r="I26" i="4"/>
  <c r="J26" i="4" s="1"/>
  <c r="J24" i="4"/>
  <c r="J23" i="4"/>
  <c r="J25" i="4"/>
  <c r="J22" i="4"/>
  <c r="D15" i="4"/>
  <c r="D13" i="4"/>
  <c r="D1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<sst xmlns="http://schemas.openxmlformats.org/spreadsheetml/2006/main" count="722" uniqueCount="514">
  <si>
    <t>نظام الترقيم الجديد - New Coding System</t>
  </si>
  <si>
    <t>Asset Coding System: P-XXX-XXX-0001 Format</t>
  </si>
  <si>
    <t>P-FUR-DESK</t>
  </si>
  <si>
    <t>Office Desk</t>
  </si>
  <si>
    <t>أثاث مكتبي</t>
  </si>
  <si>
    <t>Office Furniture</t>
  </si>
  <si>
    <t>مكاتب مكتبية - مثال: P-FUR-DESK-0001</t>
  </si>
  <si>
    <t>P-FUR-CHR</t>
  </si>
  <si>
    <t>Office Chair</t>
  </si>
  <si>
    <t>كراسي مكتبية - مثال: P-FUR-CHR-0001</t>
  </si>
  <si>
    <t>P-FUR-CAB</t>
  </si>
  <si>
    <t>Cabinet</t>
  </si>
  <si>
    <t>خزائن ملفات - مثال: P-FUR-CAB-0001</t>
  </si>
  <si>
    <t>P-FUR-SAF</t>
  </si>
  <si>
    <t>Safe</t>
  </si>
  <si>
    <t>خزائن آمنة - مثال: P-FUR-SAF-0001</t>
  </si>
  <si>
    <t>P-FUR-TEA</t>
  </si>
  <si>
    <t>Tea Table</t>
  </si>
  <si>
    <t>طاولات استقبال - مثال: P-FUR-TEA-0001</t>
  </si>
  <si>
    <t>P-CLA-TBL</t>
  </si>
  <si>
    <t>Class Table</t>
  </si>
  <si>
    <t>أثاث القاعات</t>
  </si>
  <si>
    <t>Classroom</t>
  </si>
  <si>
    <t>طاولات دراسية - مثال: P-CLA-TBL-0001</t>
  </si>
  <si>
    <t>P-CLA-CHR</t>
  </si>
  <si>
    <t>Student Chair</t>
  </si>
  <si>
    <t>كراسي الطلاب - مثال: P-CLA-CHR-0001</t>
  </si>
  <si>
    <t>P-CLA-BRD</t>
  </si>
  <si>
    <t>Board</t>
  </si>
  <si>
    <t>سبورات - مثال: P-CLA-BRD-0001</t>
  </si>
  <si>
    <t>P-CLA-PLT</t>
  </si>
  <si>
    <t>Platform</t>
  </si>
  <si>
    <t>منصات المعلم - مثال: P-CLA-PLT-0001</t>
  </si>
  <si>
    <t>P-REL-CHR</t>
  </si>
  <si>
    <t>Lounge Chair</t>
  </si>
  <si>
    <t>أثاث استراحة</t>
  </si>
  <si>
    <t>Lounge</t>
  </si>
  <si>
    <t>كراسي الاستراحة والممرات - مثال: P-REL-CHR-0001</t>
  </si>
  <si>
    <t>P-REL-TBL</t>
  </si>
  <si>
    <t>Lounge Table</t>
  </si>
  <si>
    <t>طاولات استراحة - مثال: P-REL-TBL-0001</t>
  </si>
  <si>
    <t>P-REL-ENT</t>
  </si>
  <si>
    <t>Entrance Furniture</t>
  </si>
  <si>
    <t>أثاث مدخل</t>
  </si>
  <si>
    <t>Entrance</t>
  </si>
  <si>
    <t>أثاث مدخل المعهد - مثال: P-REL-ENT-0001</t>
  </si>
  <si>
    <t>P-IT-LAP</t>
  </si>
  <si>
    <t>Laptop</t>
  </si>
  <si>
    <t>أجهزة حاسوب</t>
  </si>
  <si>
    <t>IT Equipment</t>
  </si>
  <si>
    <t>لابتوب - مثال: P-IT-LAP-0001</t>
  </si>
  <si>
    <t>P-IT-MON</t>
  </si>
  <si>
    <t>Monitor</t>
  </si>
  <si>
    <t>شاشات كمبيوتر - مثال: P-IT-MON-0001</t>
  </si>
  <si>
    <t>P-IT-CAM</t>
  </si>
  <si>
    <t>Web Camera</t>
  </si>
  <si>
    <t>كاميرات ويب - مثال: P-IT-CAM-0001</t>
  </si>
  <si>
    <t>P-IT-PRJ</t>
  </si>
  <si>
    <t>Projector</t>
  </si>
  <si>
    <t>أجهزة عرض</t>
  </si>
  <si>
    <t>Projection</t>
  </si>
  <si>
    <t>بروجكتر - مثال: P-IT-PRJ-0001</t>
  </si>
  <si>
    <t>P-IT-PRT</t>
  </si>
  <si>
    <t>Printer</t>
  </si>
  <si>
    <t>طابعات</t>
  </si>
  <si>
    <t>Printers</t>
  </si>
  <si>
    <t>طابعات عادية - مثال: P-IT-PRT-0001</t>
  </si>
  <si>
    <t>P-IT-PRT-CL</t>
  </si>
  <si>
    <t>Color Printer</t>
  </si>
  <si>
    <t>طابعات ملونة</t>
  </si>
  <si>
    <t>Color Printers</t>
  </si>
  <si>
    <t>طابعات ملونة - مثال: P-IT-PRT-CL-0001</t>
  </si>
  <si>
    <t>P-IT-PHN</t>
  </si>
  <si>
    <t>Phone</t>
  </si>
  <si>
    <t>هواتف</t>
  </si>
  <si>
    <t>Phones</t>
  </si>
  <si>
    <t>هواتف أرضية - مثال: P-IT-PHN-0001</t>
  </si>
  <si>
    <t>P-IT-WIFI</t>
  </si>
  <si>
    <t>WiFi Router</t>
  </si>
  <si>
    <t>شبكات</t>
  </si>
  <si>
    <t>Network</t>
  </si>
  <si>
    <t>راوترات واي فاي - مثال: P-IT-WIFI-0001</t>
  </si>
  <si>
    <t>P-IT-CCTV</t>
  </si>
  <si>
    <t>CCTV Camera</t>
  </si>
  <si>
    <t>كاميرات مراقبة</t>
  </si>
  <si>
    <t>Surveillance</t>
  </si>
  <si>
    <t>كاميرات مراقبة - مثال: P-IT-CCTV-0001</t>
  </si>
  <si>
    <t>P-IT-TV</t>
  </si>
  <si>
    <t>Television</t>
  </si>
  <si>
    <t>تلفزيونات</t>
  </si>
  <si>
    <t>TV</t>
  </si>
  <si>
    <t>شاشات تلفزيون - مثال: P-IT-TV-0001</t>
  </si>
  <si>
    <t>P-IT-DVR</t>
  </si>
  <si>
    <t>DVR System</t>
  </si>
  <si>
    <t>أنظمة تسجيل</t>
  </si>
  <si>
    <t>Recording</t>
  </si>
  <si>
    <t>أجهزة تسجيل المراقبة - مثال: P-IT-DVR-0001</t>
  </si>
  <si>
    <t>P-SAF-FIR</t>
  </si>
  <si>
    <t>Fire Extinguisher</t>
  </si>
  <si>
    <t>معدات السلامة</t>
  </si>
  <si>
    <t>Safety</t>
  </si>
  <si>
    <t>طفايات حريق - مثال: P-SAF-FIR-0001</t>
  </si>
  <si>
    <t>P-SAF-TRS</t>
  </si>
  <si>
    <t>Trash Can</t>
  </si>
  <si>
    <t>معدات النظافة</t>
  </si>
  <si>
    <t>Cleaning</t>
  </si>
  <si>
    <t>سلات مهملات - مثال: P-SAF-TRS-0001</t>
  </si>
  <si>
    <t>P-KIT-FRG</t>
  </si>
  <si>
    <t>Refrigerator</t>
  </si>
  <si>
    <t>أجهزة المطبخ</t>
  </si>
  <si>
    <t>Kitchen</t>
  </si>
  <si>
    <t>ثلاجات - مثال: P-KIT-FRG-0001</t>
  </si>
  <si>
    <t>P-KIT-MIC</t>
  </si>
  <si>
    <t>Microwave</t>
  </si>
  <si>
    <t>ميكروويف - مثال: P-KIT-MIC-0001</t>
  </si>
  <si>
    <t>P-AIR-WIN</t>
  </si>
  <si>
    <t>Window AC</t>
  </si>
  <si>
    <t>مكيفات شباك</t>
  </si>
  <si>
    <t>AC Window</t>
  </si>
  <si>
    <t>مكيفات شباك - مثال: P-AIR-WIN-0001</t>
  </si>
  <si>
    <t>P-AIR-SPL</t>
  </si>
  <si>
    <t>Split AC</t>
  </si>
  <si>
    <t>مكيفات اسبلت</t>
  </si>
  <si>
    <t>AC Split</t>
  </si>
  <si>
    <t>مكيفات اسبلت - مثال: P-AIR-SPL-0001</t>
  </si>
  <si>
    <t>P-PHO-PRT</t>
  </si>
  <si>
    <t>Large Format Printer</t>
  </si>
  <si>
    <t>طابعات كبيرة</t>
  </si>
  <si>
    <t>Large Printer</t>
  </si>
  <si>
    <t>طابعات كبيرة للتصوير - مثال: P-PHO-PRT-0001</t>
  </si>
  <si>
    <t>P-PHO-BND</t>
  </si>
  <si>
    <t>Binding Machine</t>
  </si>
  <si>
    <t>آلات التجليد</t>
  </si>
  <si>
    <t>Binding</t>
  </si>
  <si>
    <t>أجهزة تجليد الكتب - مثال: P-PHO-BND-0001</t>
  </si>
  <si>
    <t>P-PHO-CUT</t>
  </si>
  <si>
    <t>Paper Cutter</t>
  </si>
  <si>
    <t>قواطع ورق</t>
  </si>
  <si>
    <t>Cutter</t>
  </si>
  <si>
    <t>قواطع ورق احترافية - مثال: P-PHO-CUT-0001</t>
  </si>
  <si>
    <t>رموز المواقع - Location Codes</t>
  </si>
  <si>
    <t>CLS-01</t>
  </si>
  <si>
    <t>Classroom 01</t>
  </si>
  <si>
    <t>قاعة دراسية 1</t>
  </si>
  <si>
    <t>Classroom 1</t>
  </si>
  <si>
    <t>P-CLA-TBL-0001-CLS01</t>
  </si>
  <si>
    <t>CLS-02</t>
  </si>
  <si>
    <t>Classroom 02</t>
  </si>
  <si>
    <t>قاعة دراسية 2</t>
  </si>
  <si>
    <t>Classroom 2</t>
  </si>
  <si>
    <t>P-CLA-CHR-0030-CLS02</t>
  </si>
  <si>
    <t>CLS-03</t>
  </si>
  <si>
    <t>Classroom 03</t>
  </si>
  <si>
    <t>قاعة دراسية 3</t>
  </si>
  <si>
    <t>Classroom 3</t>
  </si>
  <si>
    <t>P-CLA-BRD-0001-CLS03</t>
  </si>
  <si>
    <t>CLS-04</t>
  </si>
  <si>
    <t>Classroom 04</t>
  </si>
  <si>
    <t>قاعة دراسية 4</t>
  </si>
  <si>
    <t>Classroom 4</t>
  </si>
  <si>
    <t>P-IT-PRJ-0001-CLS04</t>
  </si>
  <si>
    <t>CLS-05</t>
  </si>
  <si>
    <t>Classroom 05</t>
  </si>
  <si>
    <t>قاعة دراسية 5</t>
  </si>
  <si>
    <t>Classroom 5</t>
  </si>
  <si>
    <t>P-AIR-SPL-0001-CLS05</t>
  </si>
  <si>
    <t>CLS-06</t>
  </si>
  <si>
    <t>Classroom 06</t>
  </si>
  <si>
    <t>قاعة دراسية 6</t>
  </si>
  <si>
    <t>Classroom 6</t>
  </si>
  <si>
    <t>P-CLA-TBL-0002-CLS06</t>
  </si>
  <si>
    <t>CLS-07</t>
  </si>
  <si>
    <t>Classroom 07</t>
  </si>
  <si>
    <t>قاعة دراسية 7</t>
  </si>
  <si>
    <t>Classroom 7</t>
  </si>
  <si>
    <t>P-CLA-CHR-0060-CLS07</t>
  </si>
  <si>
    <t>CLS-08</t>
  </si>
  <si>
    <t>Classroom 08</t>
  </si>
  <si>
    <t>قاعة دراسية 8</t>
  </si>
  <si>
    <t>Classroom 8</t>
  </si>
  <si>
    <t>P-SAF-FIR-0001-CLS08</t>
  </si>
  <si>
    <t>CLS-09</t>
  </si>
  <si>
    <t>Classroom 09</t>
  </si>
  <si>
    <t>قاعة دراسية 9</t>
  </si>
  <si>
    <t>Classroom 9</t>
  </si>
  <si>
    <t>P-IT-CCTV-0001-CLS09</t>
  </si>
  <si>
    <t>CLS-10</t>
  </si>
  <si>
    <t>Classroom 10</t>
  </si>
  <si>
    <t>قاعة دراسية 10</t>
  </si>
  <si>
    <t>P-CLA-PLT-0001-CLS10</t>
  </si>
  <si>
    <t>ADM-DIR</t>
  </si>
  <si>
    <t>Director Office</t>
  </si>
  <si>
    <t>مكتب المدير</t>
  </si>
  <si>
    <t>Director's Office</t>
  </si>
  <si>
    <t>P-FUR-DESK-0001-ADMDIR</t>
  </si>
  <si>
    <t>ADM-VDIR</t>
  </si>
  <si>
    <t>Vice Director</t>
  </si>
  <si>
    <t>مكتب نائب المدير</t>
  </si>
  <si>
    <t>P-FUR-DESK-0002-ADMVDIR</t>
  </si>
  <si>
    <t>ADM-EXEC</t>
  </si>
  <si>
    <t>Executive Office</t>
  </si>
  <si>
    <t>مكتب المدير التنفيذي</t>
  </si>
  <si>
    <t>P-FUR-DESK-0003-ADMEXEC</t>
  </si>
  <si>
    <t>ADM-STU</t>
  </si>
  <si>
    <t>Student Affairs</t>
  </si>
  <si>
    <t>شؤون الطلاب</t>
  </si>
  <si>
    <t>P-FUR-CHR-0001-ADMSTU</t>
  </si>
  <si>
    <t>ADM-ACA</t>
  </si>
  <si>
    <t>Academic Admin</t>
  </si>
  <si>
    <t>الإدارة الأكاديمية</t>
  </si>
  <si>
    <t>P-FUR-CAB-0001-ADMACA</t>
  </si>
  <si>
    <t>ADM-FIN</t>
  </si>
  <si>
    <t>Finance Office</t>
  </si>
  <si>
    <t>المالية والحسابات</t>
  </si>
  <si>
    <t>P-IT-LAP-0001-ADMFIN</t>
  </si>
  <si>
    <t>ADM-QUA</t>
  </si>
  <si>
    <t>Quality Control</t>
  </si>
  <si>
    <t>الرقابة والجودة</t>
  </si>
  <si>
    <t>P-IT-PRT-0001-ADMQUA</t>
  </si>
  <si>
    <t>ADM-INS</t>
  </si>
  <si>
    <t>Insurance Office</t>
  </si>
  <si>
    <t>التأمين</t>
  </si>
  <si>
    <t>Insurance</t>
  </si>
  <si>
    <t>P-FUR-SAF-0001-ADMINS</t>
  </si>
  <si>
    <t>COM-TEA</t>
  </si>
  <si>
    <t>Teachers Lounge</t>
  </si>
  <si>
    <t>استراحة المدرسين</t>
  </si>
  <si>
    <t>P-REL-CHR-0001-COMTEA</t>
  </si>
  <si>
    <t>COM-ENT</t>
  </si>
  <si>
    <t>Main Entrance</t>
  </si>
  <si>
    <t>مدخل المعهد</t>
  </si>
  <si>
    <t>P-REL-ENT-0001-COMENT</t>
  </si>
  <si>
    <t>COM-COR</t>
  </si>
  <si>
    <t>Corridors</t>
  </si>
  <si>
    <t>الممرات</t>
  </si>
  <si>
    <t>P-REL-CHR-0010-COMCOR</t>
  </si>
  <si>
    <t>COM-PHO</t>
  </si>
  <si>
    <t>Photography Room</t>
  </si>
  <si>
    <t>غرفة التصوير</t>
  </si>
  <si>
    <t>P-PHO-PRT-0001-COMPHO</t>
  </si>
  <si>
    <t>GEN-ALL</t>
  </si>
  <si>
    <t>General Areas</t>
  </si>
  <si>
    <t>مناطق عامة</t>
  </si>
  <si>
    <t>General Institute</t>
  </si>
  <si>
    <t>P-IT-CCTV-0010-GENALL</t>
  </si>
  <si>
    <t>WAR-STO</t>
  </si>
  <si>
    <t>Warehouse Storage</t>
  </si>
  <si>
    <t>المستودع</t>
  </si>
  <si>
    <t>Warehouse</t>
  </si>
  <si>
    <t>P-FUR-CHR-0015-WAR</t>
  </si>
  <si>
    <t>السجل الرئيسي لأصول المعهد</t>
  </si>
  <si>
    <t>Main Asset Registry - Institute Inventory Database</t>
  </si>
  <si>
    <t>الرقم التسلسلي الكامل</t>
  </si>
  <si>
    <t>اسم الأصل</t>
  </si>
  <si>
    <t>الوصف التفصيلي</t>
  </si>
  <si>
    <t>الموقع</t>
  </si>
  <si>
    <t>الحالة</t>
  </si>
  <si>
    <t>ملاحظات</t>
  </si>
  <si>
    <t>جهاز عرض Epson</t>
  </si>
  <si>
    <t>مكتب خشبي بني، 3 أدراج، حجم كبير 180×90 سم</t>
  </si>
  <si>
    <t xml:space="preserve">المدير التنفيذي </t>
  </si>
  <si>
    <t>جيد</t>
  </si>
  <si>
    <t>تصنيف الأصول حسب النوع</t>
  </si>
  <si>
    <t>Asset Classification by Type</t>
  </si>
  <si>
    <t>أثاث مكتبي - Office Furniture</t>
  </si>
  <si>
    <t>ملخص التصنيف - Summary</t>
  </si>
  <si>
    <t>الرقم التسلسلي</t>
  </si>
  <si>
    <t>اسم القطعة</t>
  </si>
  <si>
    <t>Item Name</t>
  </si>
  <si>
    <t>ATH-MKT-001</t>
  </si>
  <si>
    <t>مكتب تنفيذي</t>
  </si>
  <si>
    <t>Executive Desk</t>
  </si>
  <si>
    <t>الإدارة العليا - مكتب 1</t>
  </si>
  <si>
    <t>خشبي، 3 أدراج</t>
  </si>
  <si>
    <t>نوع الأصل</t>
  </si>
  <si>
    <t>Asset Type</t>
  </si>
  <si>
    <t>العدد</t>
  </si>
  <si>
    <t>ATH-MKT-002</t>
  </si>
  <si>
    <t>كرسي مكتبي دوار</t>
  </si>
  <si>
    <t>جيد جداً</t>
  </si>
  <si>
    <t>ظهر طبي</t>
  </si>
  <si>
    <t>ATH-MKT-003</t>
  </si>
  <si>
    <t>خزانة ملفات</t>
  </si>
  <si>
    <t>File Cabinet</t>
  </si>
  <si>
    <t>4 أدراج، معدني</t>
  </si>
  <si>
    <t>أثاث قاعات</t>
  </si>
  <si>
    <t>Classroom Furniture</t>
  </si>
  <si>
    <t>أجهزة تقنية</t>
  </si>
  <si>
    <t>Technology</t>
  </si>
  <si>
    <t>أثاث القاعات الدراسية - Classroom Furniture</t>
  </si>
  <si>
    <t>معدات سلامة</t>
  </si>
  <si>
    <t>Safety Equipment</t>
  </si>
  <si>
    <t>أجهزة مطبخ</t>
  </si>
  <si>
    <t>ATH-QAA-001</t>
  </si>
  <si>
    <t>مكتب المعلم</t>
  </si>
  <si>
    <t>Teacher's Desk</t>
  </si>
  <si>
    <t>خشبي مع درفة</t>
  </si>
  <si>
    <t>المجموع الكلي</t>
  </si>
  <si>
    <t>Total Assets</t>
  </si>
  <si>
    <t>ATH-QAA-002</t>
  </si>
  <si>
    <t>كراسي الطلاب (30)</t>
  </si>
  <si>
    <t>Student Chairs (30)</t>
  </si>
  <si>
    <t>متوسط</t>
  </si>
  <si>
    <t>بلاستيكية زرقاء</t>
  </si>
  <si>
    <t>ATH-QAA-003</t>
  </si>
  <si>
    <t>سبورة بيضاء</t>
  </si>
  <si>
    <t>Whiteboard</t>
  </si>
  <si>
    <t>حجم كبير 3×2 متر</t>
  </si>
  <si>
    <t>أجهزة حاسوب وتقنية - Computers &amp; Technology</t>
  </si>
  <si>
    <t>TQN-HSB-001</t>
  </si>
  <si>
    <t>حاسوب Dell</t>
  </si>
  <si>
    <t>Dell Desktop</t>
  </si>
  <si>
    <t>i7, 16GB RAM</t>
  </si>
  <si>
    <t>TQN-TBA-001</t>
  </si>
  <si>
    <t>طابعة HP</t>
  </si>
  <si>
    <t>HP Printer</t>
  </si>
  <si>
    <t>ليزر، ملون</t>
  </si>
  <si>
    <t>TQN-ARD-001</t>
  </si>
  <si>
    <t>بروجكتر Epson</t>
  </si>
  <si>
    <t>Epson Projector</t>
  </si>
  <si>
    <t>3600 لومن</t>
  </si>
  <si>
    <t>معدات السلامة والنظافة - Safety &amp; Cleaning</t>
  </si>
  <si>
    <t>SLM-TFA-001</t>
  </si>
  <si>
    <t>طفاية حريق CO2</t>
  </si>
  <si>
    <t>فحص: مارس 2026</t>
  </si>
  <si>
    <t>SLM-NZF-001</t>
  </si>
  <si>
    <t>مكنسة كهربائية</t>
  </si>
  <si>
    <t>Vacuum Cleaner</t>
  </si>
  <si>
    <t>المبنى الرئيسي</t>
  </si>
  <si>
    <t>قوية 2000W</t>
  </si>
  <si>
    <t>أجهزة المطبخ - Kitchen Appliances &amp; Tools</t>
  </si>
  <si>
    <t>MTB-KHR-001</t>
  </si>
  <si>
    <t>ثلاجة Samsung</t>
  </si>
  <si>
    <t>Samsung Refrigerator</t>
  </si>
  <si>
    <t>350 لتر</t>
  </si>
  <si>
    <t>MTB-ADW-001</t>
  </si>
  <si>
    <t>طقم أطباق</t>
  </si>
  <si>
    <t>Dishes Set</t>
  </si>
  <si>
    <t>20 قطعة</t>
  </si>
  <si>
    <t>لوحة التحكم الإحصائية - Dashboard</t>
  </si>
  <si>
    <t>Asset Management Overview - Institute Inventory Statistics</t>
  </si>
  <si>
    <t>المؤشرات الرئيسية - Key Performance Indicators</t>
  </si>
  <si>
    <t>إجمالي الأصول</t>
  </si>
  <si>
    <t>أثاث</t>
  </si>
  <si>
    <t>التوزيع حسب نوع الأصل - Distribution by Asset Type</t>
  </si>
  <si>
    <t>النسبة</t>
  </si>
  <si>
    <t>ممتاز</t>
  </si>
  <si>
    <t>التوزيع حسب الموقع - Distribution by Location</t>
  </si>
  <si>
    <t>Location</t>
  </si>
  <si>
    <t>عدد الأصول</t>
  </si>
  <si>
    <t>قاعات دراسية</t>
  </si>
  <si>
    <t>Classrooms</t>
  </si>
  <si>
    <t>الإدارة العليا</t>
  </si>
  <si>
    <t>Senior Management</t>
  </si>
  <si>
    <t>مواقع أخرى</t>
  </si>
  <si>
    <t>Other Locations</t>
  </si>
  <si>
    <t>حالة الأصول - Asset Condition Status</t>
  </si>
  <si>
    <t>Condition</t>
  </si>
  <si>
    <t>الإجراء المطلوب</t>
  </si>
  <si>
    <t>Excellent</t>
  </si>
  <si>
    <t>متابعة دورية</t>
  </si>
  <si>
    <t>Good</t>
  </si>
  <si>
    <t>صيانة وقائية</t>
  </si>
  <si>
    <t>Fair</t>
  </si>
  <si>
    <t>صيانة عاجلة</t>
  </si>
  <si>
    <t>إحصائيات ملخصة - Summary Statistics</t>
  </si>
  <si>
    <t>إجمالي فئات الأصول:</t>
  </si>
  <si>
    <t>إجمالي المواقع:</t>
  </si>
  <si>
    <t>أصول تحت الضمان:</t>
  </si>
  <si>
    <t>أصول تحتاج صيانة:</t>
  </si>
  <si>
    <t>آخر تحديث:</t>
  </si>
  <si>
    <t>فبراير 2026</t>
  </si>
  <si>
    <t>معدل جودة الأصول:</t>
  </si>
  <si>
    <t>إدارة المستودع - Warehouse Management</t>
  </si>
  <si>
    <t>Storage &amp; Inventory Tracking System</t>
  </si>
  <si>
    <t>Serial Number</t>
  </si>
  <si>
    <t>رمز الأصل</t>
  </si>
  <si>
    <t>Asset Code</t>
  </si>
  <si>
    <t>Asset Name</t>
  </si>
  <si>
    <t>الكمية</t>
  </si>
  <si>
    <t>Quantity</t>
  </si>
  <si>
    <t>تاريخ الإدخال</t>
  </si>
  <si>
    <t>Entry Date</t>
  </si>
  <si>
    <t>السبب</t>
  </si>
  <si>
    <t>Reason</t>
  </si>
  <si>
    <t>Office Chair #15</t>
  </si>
  <si>
    <t>كرسي مكتبي احتياطي</t>
  </si>
  <si>
    <t>Spare Office Chair</t>
  </si>
  <si>
    <t>2026-01-15</t>
  </si>
  <si>
    <t>فائض عن الحاجة</t>
  </si>
  <si>
    <t>Surplus</t>
  </si>
  <si>
    <t>P-CLA-CHR-0100-WAR</t>
  </si>
  <si>
    <t>Student Chair #100</t>
  </si>
  <si>
    <t>كراسي طلاب احتياطية</t>
  </si>
  <si>
    <t>Spare Student Chairs</t>
  </si>
  <si>
    <t>2026-01-10</t>
  </si>
  <si>
    <t>مخزون احتياطي</t>
  </si>
  <si>
    <t>Reserve Stock</t>
  </si>
  <si>
    <t>P-CLA-TBL-0025-WAR</t>
  </si>
  <si>
    <t>Class Table #25</t>
  </si>
  <si>
    <t>طاولات دراسية</t>
  </si>
  <si>
    <t>Study Tables</t>
  </si>
  <si>
    <t>2026-02-01</t>
  </si>
  <si>
    <t>طلبية جديدة</t>
  </si>
  <si>
    <t>New Order</t>
  </si>
  <si>
    <t>P-IT-LAP-0005-WAR</t>
  </si>
  <si>
    <t>Laptop #5</t>
  </si>
  <si>
    <t>لابتوب Dell قديم</t>
  </si>
  <si>
    <t>Old Dell Laptop</t>
  </si>
  <si>
    <t>2025-12-20</t>
  </si>
  <si>
    <t>استبدال بأحدث</t>
  </si>
  <si>
    <t>Replaced with newer</t>
  </si>
  <si>
    <t>P-IT-MON-0008-WAR</t>
  </si>
  <si>
    <t>Monitor #8</t>
  </si>
  <si>
    <t>شاشة 19 بوصة</t>
  </si>
  <si>
    <t>19-inch Monitor</t>
  </si>
  <si>
    <t>2026-01-25</t>
  </si>
  <si>
    <t>فائض من المشروع</t>
  </si>
  <si>
    <t>Project Surplus</t>
  </si>
  <si>
    <t>P-IT-PRT-0003-WAR</t>
  </si>
  <si>
    <t>Printer #3</t>
  </si>
  <si>
    <t>طابعة HP تحتاج صيانة</t>
  </si>
  <si>
    <t>HP Printer - Needs Service</t>
  </si>
  <si>
    <t>تالف</t>
  </si>
  <si>
    <t>Damaged</t>
  </si>
  <si>
    <t>2025-11-15</t>
  </si>
  <si>
    <t>عطل فني</t>
  </si>
  <si>
    <t>Technical Fault</t>
  </si>
  <si>
    <t>P-FUR-DESK-0010-WAR</t>
  </si>
  <si>
    <t>Office Desk #10</t>
  </si>
  <si>
    <t>مكتب خشبي صغير</t>
  </si>
  <si>
    <t>Small Wooden Desk</t>
  </si>
  <si>
    <t>2026-01-05</t>
  </si>
  <si>
    <t>نقل موظف</t>
  </si>
  <si>
    <t>Staff Transfer</t>
  </si>
  <si>
    <t>P-AIR-WIN-0005-WAR</t>
  </si>
  <si>
    <t>Window AC #5</t>
  </si>
  <si>
    <t>مكيف شباك 18000 وحدة</t>
  </si>
  <si>
    <t>Window AC 18000 BTU</t>
  </si>
  <si>
    <t>2025-12-01</t>
  </si>
  <si>
    <t>موسم الشتاء</t>
  </si>
  <si>
    <t>Winter Season</t>
  </si>
  <si>
    <t>P-SAF-FIR-0012-WAR</t>
  </si>
  <si>
    <t>Fire Ext. #12</t>
  </si>
  <si>
    <t>طفاية حريق منتهية الصلاحية</t>
  </si>
  <si>
    <t>Expired Fire Extinguisher</t>
  </si>
  <si>
    <t>منتهي الصلاحية</t>
  </si>
  <si>
    <t>Expired</t>
  </si>
  <si>
    <t>2025-10-30</t>
  </si>
  <si>
    <t>تحديث السلامة</t>
  </si>
  <si>
    <t>Safety Update</t>
  </si>
  <si>
    <t>P-FUR-CAB-0007-WAR</t>
  </si>
  <si>
    <t>Cabinet #7</t>
  </si>
  <si>
    <t>خزانة معدنية 4 أدراج</t>
  </si>
  <si>
    <t>Metal Cabinet 4 Drawers</t>
  </si>
  <si>
    <t>2026-02-05</t>
  </si>
  <si>
    <t>مخزون جديد</t>
  </si>
  <si>
    <t>New Stock</t>
  </si>
  <si>
    <t>P-IT-WIFI-0004-WAR</t>
  </si>
  <si>
    <t>WiFi Router #4</t>
  </si>
  <si>
    <t>راوتر قديم</t>
  </si>
  <si>
    <t>Old Router</t>
  </si>
  <si>
    <t>2025-11-20</t>
  </si>
  <si>
    <t>ترقية الشبكة</t>
  </si>
  <si>
    <t>Network Upgrade</t>
  </si>
  <si>
    <t>P-REL-CHR-0020-WAR</t>
  </si>
  <si>
    <t>Lounge Chair #20</t>
  </si>
  <si>
    <t>كرسي استراحة مريح</t>
  </si>
  <si>
    <t>Comfortable Lounge Chair</t>
  </si>
  <si>
    <t>2026-01-18</t>
  </si>
  <si>
    <t>فائض</t>
  </si>
  <si>
    <t>P-CLA-BRD-0003-WAR</t>
  </si>
  <si>
    <t>Whiteboard #3</t>
  </si>
  <si>
    <t>سبورة بيضاء كبيرة</t>
  </si>
  <si>
    <t>Large Whiteboard</t>
  </si>
  <si>
    <t>2025-12-10</t>
  </si>
  <si>
    <t>تجديد القاعات</t>
  </si>
  <si>
    <t>Classroom Renovation</t>
  </si>
  <si>
    <t>P-IT-CCTV-0015-WAR</t>
  </si>
  <si>
    <t>CCTV Camera #15</t>
  </si>
  <si>
    <t>كاميرا مراقبة خارجية</t>
  </si>
  <si>
    <t>Outdoor CCTV Camera</t>
  </si>
  <si>
    <t>2026-02-08</t>
  </si>
  <si>
    <t>توسيع المراقبة</t>
  </si>
  <si>
    <t>Surveillance Expansion</t>
  </si>
  <si>
    <t>P-KIT-FRG-0002-WAR</t>
  </si>
  <si>
    <t>Refrigerator #2</t>
  </si>
  <si>
    <t>ثلاجة صغيرة 120 لتر</t>
  </si>
  <si>
    <t>Small Fridge 120L</t>
  </si>
  <si>
    <t>2026-01-22</t>
  </si>
  <si>
    <t>استبدال</t>
  </si>
  <si>
    <t>Replacement</t>
  </si>
  <si>
    <t>P-PHO-BND-0002-WAR</t>
  </si>
  <si>
    <t>Binding Machine #2</t>
  </si>
  <si>
    <t>جهاز تجليد يدوي</t>
  </si>
  <si>
    <t>Manual Binding Machine</t>
  </si>
  <si>
    <t>2026-02-03</t>
  </si>
  <si>
    <t>Backup Stock</t>
  </si>
  <si>
    <t>ملخص المستودع - Warehouse Summary</t>
  </si>
  <si>
    <t>إجمالي الأصناف في المستودع:</t>
  </si>
  <si>
    <t>إجمالي الكميات:</t>
  </si>
  <si>
    <t>أصول بحالة ممتازة:</t>
  </si>
  <si>
    <t>أصول تالفة/منتهية:</t>
  </si>
  <si>
    <t>آخر عملية إدخال:</t>
  </si>
  <si>
    <t>قيمة تقديرية للمخزون:</t>
  </si>
  <si>
    <t>تحديث مستمر</t>
  </si>
  <si>
    <t>مساحة استيعابية:</t>
  </si>
  <si>
    <t>70%</t>
  </si>
  <si>
    <t>إرشادات الاستخدام - Usage Instructions</t>
  </si>
  <si>
    <t>1. عند إدخال أصل جديد: سجل الرقم التسلسلي، الكمية، الحالة، التاريخ وسبب الإدخال</t>
  </si>
  <si>
    <t>2. عند إخراج أصل: احذف الصف أو قلل الكمية وسجل تاريخ الإخراج في الملاحظات</t>
  </si>
  <si>
    <t>3. راجع المخزون شهرياً وحدّث حالة الأصول بانتظام</t>
  </si>
  <si>
    <t>4. الأصول التالفة أو منتهية الصلاحية: ضع علامة واضحة لاتخاذ قرار الإصلاح أو الاستبعاد</t>
  </si>
  <si>
    <t>5. استخدم نظام الترقيم الموحد P-XXX-XXX-0001 مع إضافة -WAR للمستودع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</si>
</sst>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b/>
      <sz val="11"/>
      <color rgb="FFFFFFFF"/>
      <name val="Aptos Narrow"/>
    </font>
    <font>
      <sz val="11"/>
      <name val="Calibri"/>
      <scheme val="minor"/>
    </font>
    <font>
      <sz val="14"/>
      <color theme="1"/>
      <name val="Arial Narrow"/>
    </font>
    <font>
      <sz val="14"/>
      <color rgb="FFFFFFFF"/>
      <name val="Arial Narrow"/>
    </font>
    <font>
      <sz val="12"/>
      <color theme="1"/>
      <name val="Calibri"/>
      <scheme val="minor"/>
    </font>
    <font>
      <sz val="12"/>
      <name val="Calibri"/>
      <scheme val="minor"/>
    </font>
    <font>
      <b/>
      <sz val="11"/>
      <name val="Aptos Narrow"/>
    </font>
    <font>
      <b/>
      <sz val="18"/>
      <color rgb="FFFFFFFF"/>
      <name val="Aptos Narrow"/>
    </font>
    <font>
      <b/>
      <sz val="12"/>
      <name val="Aptos Narrow"/>
    </font>
    <font>
      <b/>
      <sz val="14"/>
      <name val="Aptos Narrow"/>
    </font>
    <font>
      <b/>
      <sz val="20"/>
      <name val="Aptos Narrow"/>
    </font>
    <font>
      <b/>
      <sz val="14"/>
      <color rgb="FFFFFFFF"/>
      <name val="Aptos Narrow"/>
    </font>
    <font>
      <b/>
      <sz val="16"/>
      <color rgb="FFFFFFFF"/>
      <name val="Aptos Narrow"/>
    </font>
    <font>
      <b/>
      <sz val="12"/>
      <color rgb="FFFFFFFF"/>
      <name val="Aptos Narrow"/>
    </font>
  </fonts>
  <fills count="29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FFC000"/>
      </patternFill>
    </fill>
    <fill>
      <patternFill patternType="solid">
        <fgColor rgb="FFE4DFEC"/>
      </patternFill>
    </fill>
    <fill>
      <patternFill patternType="solid">
        <fgColor rgb="FFF4CCCC"/>
      </patternFill>
    </fill>
    <fill>
      <patternFill patternType="solid">
        <fgColor rgb="FFFCE4D6"/>
      </patternFill>
    </fill>
    <fill>
      <patternFill patternType="solid">
        <fgColor rgb="FF7030A0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E06666"/>
      </patternFill>
    </fill>
    <fill>
      <patternFill patternType="solid">
        <fgColor rgb="FF002060"/>
      </patternFill>
    </fill>
    <fill>
      <patternFill patternType="solid">
        <fgColor rgb="FFB4C7E7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C65911"/>
      </patternFill>
    </fill>
    <fill>
      <patternFill patternType="solid">
        <fgColor rgb="FF0070C0"/>
      </patternFill>
    </fill>
    <fill>
      <patternFill patternType="solid">
        <fgColor rgb="FF385723"/>
      </patternFill>
    </fill>
    <fill>
      <patternFill patternType="solid">
        <fgColor rgb="FF1F4E78"/>
      </patternFill>
    </fill>
    <fill>
      <patternFill patternType="solid">
        <fgColor rgb="FFD6DCE4"/>
      </patternFill>
    </fill>
    <fill>
      <patternFill patternType="solid">
        <fgColor rgb="FF548235"/>
      </patternFill>
    </fill>
    <fill>
      <patternFill patternType="solid">
        <fgColor rgb="FF5B2C6F"/>
      </patternFill>
    </fill>
    <fill>
      <patternFill patternType="solid">
        <fgColor rgb="FFD5C6E0"/>
      </patternFill>
    </fill>
    <fill>
      <patternFill patternType="solid">
        <fgColor theme="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1">
      <alignment vertical="top"/>
    </xf>
  </cellStyleXfs>
  <cellXfs count="71">
    <xf numFmtId="0" fontId="0" fillId="0" borderId="1" xfId="0">
      <alignment vertical="top"/>
    </xf>
    <xf numFmtId="0" fontId="1" fillId="2" borderId="1" xfId="0" applyFont="1" applyFill="1" applyAlignment="1">
      <alignment horizontal="center" vertical="center"/>
    </xf>
    <xf numFmtId="0" fontId="2" fillId="3" borderId="2" xfId="0" applyFont="1" applyFill="1" applyBorder="1">
      <alignment vertical="top"/>
    </xf>
    <xf numFmtId="0" fontId="2" fillId="4" borderId="2" xfId="0" applyFont="1" applyFill="1" applyBorder="1">
      <alignment vertical="top"/>
    </xf>
    <xf numFmtId="49" fontId="2" fillId="3" borderId="2" xfId="0" applyNumberFormat="1" applyFont="1" applyFill="1" applyBorder="1">
      <alignment vertical="top"/>
    </xf>
    <xf numFmtId="0" fontId="3" fillId="0" borderId="1" xfId="0" applyFont="1">
      <alignment vertical="top"/>
    </xf>
    <xf numFmtId="0" fontId="4" fillId="2" borderId="2" xfId="0" applyFont="1" applyFill="1" applyBorder="1" applyAlignment="1">
      <alignment horizontal="center" vertical="center"/>
    </xf>
    <xf numFmtId="0" fontId="5" fillId="0" borderId="1" xfId="0" applyFont="1">
      <alignment vertical="top"/>
    </xf>
    <xf numFmtId="49" fontId="6" fillId="3" borderId="2" xfId="0" applyNumberFormat="1" applyFont="1" applyFill="1" applyBorder="1" applyAlignment="1">
      <alignment horizontal="left" vertical="top"/>
    </xf>
    <xf numFmtId="49" fontId="6" fillId="3" borderId="2" xfId="0" applyNumberFormat="1" applyFont="1" applyFill="1" applyBorder="1" applyAlignment="1">
      <alignment horizontal="right" vertical="top"/>
    </xf>
    <xf numFmtId="49" fontId="6" fillId="28" borderId="2" xfId="0" applyNumberFormat="1" applyFont="1" applyFill="1" applyBorder="1" applyAlignment="1">
      <alignment horizontal="right" vertical="top"/>
    </xf>
    <xf numFmtId="49" fontId="5" fillId="3" borderId="2" xfId="0" applyNumberFormat="1" applyFont="1" applyFill="1" applyBorder="1" applyAlignment="1">
      <alignment horizontal="left" vertical="top"/>
    </xf>
    <xf numFmtId="49" fontId="5" fillId="3" borderId="2" xfId="0" applyNumberFormat="1" applyFont="1" applyFill="1" applyBorder="1" applyAlignment="1">
      <alignment horizontal="right" vertical="top"/>
    </xf>
    <xf numFmtId="49" fontId="5" fillId="28" borderId="2" xfId="0" applyNumberFormat="1" applyFont="1" applyFill="1" applyBorder="1" applyAlignment="1">
      <alignment horizontal="right" vertical="top"/>
    </xf>
    <xf numFmtId="49" fontId="6" fillId="4" borderId="2" xfId="0" applyNumberFormat="1" applyFont="1" applyFill="1" applyBorder="1" applyAlignment="1">
      <alignment horizontal="left" vertical="top"/>
    </xf>
    <xf numFmtId="49" fontId="6" fillId="4" borderId="2" xfId="0" applyNumberFormat="1" applyFont="1" applyFill="1" applyBorder="1">
      <alignment vertical="top"/>
    </xf>
    <xf numFmtId="49" fontId="6" fillId="28" borderId="2" xfId="0" applyNumberFormat="1" applyFont="1" applyFill="1" applyBorder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2" xfId="0" applyFont="1" applyFill="1" applyBorder="1">
      <alignment vertical="top"/>
    </xf>
    <xf numFmtId="0" fontId="6" fillId="28" borderId="2" xfId="0" applyFont="1" applyFill="1" applyBorder="1">
      <alignment vertical="top"/>
    </xf>
    <xf numFmtId="0" fontId="7" fillId="5" borderId="1" xfId="0" applyFont="1" applyFill="1" applyAlignment="1">
      <alignment horizontal="center" vertical="top"/>
    </xf>
    <xf numFmtId="0" fontId="2" fillId="0" borderId="2" xfId="0" applyFont="1" applyBorder="1">
      <alignment vertical="top"/>
    </xf>
    <xf numFmtId="0" fontId="7" fillId="6" borderId="1" xfId="0" applyFont="1" applyFill="1" applyAlignment="1">
      <alignment horizontal="center" vertical="top"/>
    </xf>
    <xf numFmtId="0" fontId="7" fillId="7" borderId="2" xfId="0" applyFont="1" applyFill="1" applyBorder="1">
      <alignment vertical="top"/>
    </xf>
    <xf numFmtId="0" fontId="7" fillId="7" borderId="2" xfId="0" applyFont="1" applyFill="1" applyBorder="1" applyAlignment="1">
      <alignment horizontal="center" vertical="top"/>
    </xf>
    <xf numFmtId="0" fontId="7" fillId="8" borderId="1" xfId="0" applyFont="1" applyFill="1" applyAlignment="1">
      <alignment horizontal="center" vertical="top"/>
    </xf>
    <xf numFmtId="0" fontId="7" fillId="9" borderId="1" xfId="0" applyFont="1" applyFill="1" applyAlignment="1">
      <alignment horizontal="center" vertical="top"/>
    </xf>
    <xf numFmtId="0" fontId="7" fillId="10" borderId="1" xfId="0" applyFont="1" applyFill="1" applyAlignment="1">
      <alignment horizontal="center" vertical="top"/>
    </xf>
    <xf numFmtId="0" fontId="1" fillId="11" borderId="1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0" fontId="2" fillId="3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0" fontId="2" fillId="4" borderId="3" xfId="0" applyNumberFormat="1" applyFont="1" applyFill="1" applyBorder="1" applyAlignment="1">
      <alignment horizontal="center" vertical="center"/>
    </xf>
    <xf numFmtId="0" fontId="7" fillId="3" borderId="1" xfId="0" applyFont="1" applyFill="1" applyAlignment="1">
      <alignment horizontal="center" vertical="center"/>
    </xf>
    <xf numFmtId="10" fontId="7" fillId="3" borderId="1" xfId="0" applyNumberFormat="1" applyFont="1" applyFill="1" applyAlignment="1">
      <alignment horizontal="center" vertical="center"/>
    </xf>
    <xf numFmtId="0" fontId="2" fillId="12" borderId="2" xfId="0" applyFont="1" applyFill="1" applyBorder="1">
      <alignment vertical="top"/>
    </xf>
    <xf numFmtId="0" fontId="2" fillId="13" borderId="2" xfId="0" applyFont="1" applyFill="1" applyBorder="1">
      <alignment vertical="top"/>
    </xf>
    <xf numFmtId="0" fontId="2" fillId="14" borderId="2" xfId="0" applyFont="1" applyFill="1" applyBorder="1">
      <alignment vertical="top"/>
    </xf>
    <xf numFmtId="0" fontId="2" fillId="9" borderId="2" xfId="0" applyFont="1" applyFill="1" applyBorder="1">
      <alignment vertical="top"/>
    </xf>
    <xf numFmtId="0" fontId="2" fillId="15" borderId="2" xfId="0" applyFont="1" applyFill="1" applyBorder="1">
      <alignment vertical="top"/>
    </xf>
    <xf numFmtId="0" fontId="13" fillId="23" borderId="1" xfId="0" applyFont="1" applyFill="1" applyAlignment="1">
      <alignment horizontal="center" vertical="center"/>
    </xf>
    <xf numFmtId="0" fontId="0" fillId="0" borderId="1" xfId="0">
      <alignment vertical="top"/>
    </xf>
    <xf numFmtId="0" fontId="7" fillId="24" borderId="1" xfId="0" applyFont="1" applyFill="1" applyAlignment="1">
      <alignment horizontal="center" vertical="center"/>
    </xf>
    <xf numFmtId="0" fontId="8" fillId="16" borderId="1" xfId="0" applyFont="1" applyFill="1" applyAlignment="1">
      <alignment horizontal="center" vertical="center"/>
    </xf>
    <xf numFmtId="0" fontId="9" fillId="17" borderId="1" xfId="0" applyFont="1" applyFill="1" applyAlignment="1">
      <alignment horizontal="center" vertical="center"/>
    </xf>
    <xf numFmtId="0" fontId="1" fillId="18" borderId="1" xfId="0" applyFont="1" applyFill="1" applyAlignment="1">
      <alignment horizontal="center" vertical="center"/>
    </xf>
    <xf numFmtId="0" fontId="14" fillId="19" borderId="1" xfId="0" applyFont="1" applyFill="1" applyAlignment="1">
      <alignment horizontal="center" vertical="center"/>
    </xf>
    <xf numFmtId="0" fontId="14" fillId="20" borderId="1" xfId="0" applyFont="1" applyFill="1" applyAlignment="1">
      <alignment horizontal="center" vertical="center"/>
    </xf>
    <xf numFmtId="0" fontId="9" fillId="7" borderId="1" xfId="0" applyFont="1" applyFill="1" applyAlignment="1">
      <alignment horizontal="center" vertical="center"/>
    </xf>
    <xf numFmtId="0" fontId="13" fillId="25" borderId="1" xfId="0" applyFont="1" applyFill="1" applyAlignment="1">
      <alignment horizontal="center" vertical="center"/>
    </xf>
    <xf numFmtId="0" fontId="7" fillId="12" borderId="1" xfId="0" applyFont="1" applyFill="1" applyAlignment="1">
      <alignment horizontal="center" vertical="center"/>
    </xf>
    <xf numFmtId="0" fontId="14" fillId="2" borderId="1" xfId="0" applyFont="1" applyFill="1" applyAlignment="1">
      <alignment horizontal="center" vertical="center"/>
    </xf>
    <xf numFmtId="0" fontId="14" fillId="11" borderId="1" xfId="0" applyFont="1" applyFill="1" applyAlignment="1">
      <alignment horizontal="center" vertical="center"/>
    </xf>
    <xf numFmtId="0" fontId="7" fillId="12" borderId="1" xfId="0" applyFont="1" applyFill="1" applyAlignment="1">
      <alignment horizontal="right" vertical="center"/>
    </xf>
    <xf numFmtId="0" fontId="1" fillId="21" borderId="1" xfId="0" applyFont="1" applyFill="1" applyAlignment="1">
      <alignment horizontal="center" vertical="center"/>
    </xf>
    <xf numFmtId="0" fontId="12" fillId="22" borderId="1" xfId="0" applyFont="1" applyFill="1" applyAlignment="1">
      <alignment horizontal="center" vertical="center"/>
    </xf>
    <xf numFmtId="0" fontId="10" fillId="7" borderId="1" xfId="0" applyFont="1" applyFill="1" applyAlignment="1">
      <alignment horizontal="center" vertical="center"/>
    </xf>
    <xf numFmtId="0" fontId="1" fillId="2" borderId="1" xfId="0" applyFont="1" applyFill="1" applyAlignment="1">
      <alignment horizontal="center" vertical="center"/>
    </xf>
    <xf numFmtId="0" fontId="11" fillId="5" borderId="1" xfId="0" applyFont="1" applyFill="1" applyAlignment="1">
      <alignment horizontal="center" vertical="center"/>
    </xf>
    <xf numFmtId="0" fontId="11" fillId="12" borderId="1" xfId="0" applyFont="1" applyFill="1" applyAlignment="1">
      <alignment horizontal="center" vertical="center"/>
    </xf>
    <xf numFmtId="0" fontId="1" fillId="11" borderId="1" xfId="0" applyFont="1" applyFill="1" applyAlignment="1">
      <alignment horizontal="center" vertical="center"/>
    </xf>
    <xf numFmtId="0" fontId="11" fillId="8" borderId="1" xfId="0" applyFont="1" applyFill="1" applyAlignment="1">
      <alignment horizontal="center" vertical="center"/>
    </xf>
    <xf numFmtId="0" fontId="1" fillId="19" borderId="1" xfId="0" applyFont="1" applyFill="1" applyAlignment="1">
      <alignment horizontal="center" vertical="center"/>
    </xf>
    <xf numFmtId="0" fontId="11" fillId="9" borderId="1" xfId="0" applyFont="1" applyFill="1" applyAlignment="1">
      <alignment horizontal="center" vertical="center"/>
    </xf>
    <xf numFmtId="0" fontId="1" fillId="20" borderId="1" xfId="0" applyFont="1" applyFill="1" applyAlignment="1">
      <alignment horizontal="center" vertical="center"/>
    </xf>
    <xf numFmtId="0" fontId="11" fillId="10" borderId="1" xfId="0" applyFont="1" applyFill="1" applyAlignment="1">
      <alignment horizontal="center" vertical="center"/>
    </xf>
    <xf numFmtId="0" fontId="2" fillId="0" borderId="1" xfId="0" applyFont="1" applyAlignment="1">
      <alignment horizontal="right" vertical="top"/>
    </xf>
    <xf numFmtId="0" fontId="8" fillId="26" borderId="1" xfId="0" applyFont="1" applyFill="1" applyAlignment="1">
      <alignment horizontal="center" vertical="center"/>
    </xf>
    <xf numFmtId="0" fontId="9" fillId="27" borderId="1" xfId="0" applyFont="1" applyFill="1" applyAlignment="1">
      <alignment horizontal="center" vertical="center"/>
    </xf>
    <xf numFmtId="0" fontId="7" fillId="7" borderId="1" xfId="0" applyFont="1" applyFill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توزيع الأصول حسب النوع</a:t>
            </a:r>
            <a:endParaRPr lang="ar-SA"/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'لوحة التحكم'!$A$12</c:f>
              <c:strCache>
                <c:ptCount val="1"/>
                <c:pt idx="0">
                  <c:v>أثاث مكتبي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'لوحة التحكم'!$B$11:$C$11</c:f>
              <c:strCache>
                <c:ptCount val="2"/>
                <c:pt idx="0">
                  <c:v>Asset Type</c:v>
                </c:pt>
                <c:pt idx="1">
                  <c:v>العدد</c:v>
                </c:pt>
              </c:strCache>
            </c:strRef>
          </c:cat>
          <c:val>
            <c:numRef>
              <c:f>'لوحة التحكم'!$B$12:$C$12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B-4739-B701-E4B7FA003248}"/>
            </c:ext>
          </c:extLst>
        </c:ser>
        <c:ser>
          <c:idx val="1"/>
          <c:order val="1"/>
          <c:tx>
            <c:strRef>
              <c:f>'لوحة التحكم'!$A$13</c:f>
              <c:strCache>
                <c:ptCount val="1"/>
                <c:pt idx="0">
                  <c:v>أثاث قاعات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'لوحة التحكم'!$B$11:$C$11</c:f>
              <c:strCache>
                <c:ptCount val="2"/>
                <c:pt idx="0">
                  <c:v>Asset Type</c:v>
                </c:pt>
                <c:pt idx="1">
                  <c:v>العدد</c:v>
                </c:pt>
              </c:strCache>
            </c:strRef>
          </c:cat>
          <c:val>
            <c:numRef>
              <c:f>'لوحة التحكم'!$B$13:$C$13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BB-4739-B701-E4B7FA003248}"/>
            </c:ext>
          </c:extLst>
        </c:ser>
        <c:ser>
          <c:idx val="2"/>
          <c:order val="2"/>
          <c:tx>
            <c:strRef>
              <c:f>'لوحة التحكم'!$A$14</c:f>
              <c:strCache>
                <c:ptCount val="1"/>
                <c:pt idx="0">
                  <c:v>أجهزة تقنية</c:v>
                </c:pt>
              </c:strCache>
            </c:strRef>
          </c:tx>
          <c:spPr>
            <a:solidFill>
              <a:schemeClr val="accent3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'لوحة التحكم'!$B$11:$C$11</c:f>
              <c:strCache>
                <c:ptCount val="2"/>
                <c:pt idx="0">
                  <c:v>Asset Type</c:v>
                </c:pt>
                <c:pt idx="1">
                  <c:v>العدد</c:v>
                </c:pt>
              </c:strCache>
            </c:strRef>
          </c:cat>
          <c:val>
            <c:numRef>
              <c:f>'لوحة التحكم'!$B$14:$C$14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BB-4739-B701-E4B7FA003248}"/>
            </c:ext>
          </c:extLst>
        </c:ser>
        <c:ser>
          <c:idx val="3"/>
          <c:order val="3"/>
          <c:tx>
            <c:strRef>
              <c:f>'لوحة التحكم'!$A$15</c:f>
              <c:strCache>
                <c:ptCount val="1"/>
                <c:pt idx="0">
                  <c:v>معدات سلامة</c:v>
                </c:pt>
              </c:strCache>
            </c:strRef>
          </c:tx>
          <c:spPr>
            <a:solidFill>
              <a:schemeClr val="accent4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'لوحة التحكم'!$B$11:$C$11</c:f>
              <c:strCache>
                <c:ptCount val="2"/>
                <c:pt idx="0">
                  <c:v>Asset Type</c:v>
                </c:pt>
                <c:pt idx="1">
                  <c:v>العدد</c:v>
                </c:pt>
              </c:strCache>
            </c:strRef>
          </c:cat>
          <c:val>
            <c:numRef>
              <c:f>'لوحة التحكم'!$B$15:$C$15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BB-4739-B701-E4B7FA003248}"/>
            </c:ext>
          </c:extLst>
        </c:ser>
        <c:ser>
          <c:idx val="4"/>
          <c:order val="4"/>
          <c:tx>
            <c:strRef>
              <c:f>'لوحة التحكم'!$A$16</c:f>
              <c:strCache>
                <c:ptCount val="1"/>
                <c:pt idx="0">
                  <c:v>أجهزة مطبخ</c:v>
                </c:pt>
              </c:strCache>
            </c:strRef>
          </c:tx>
          <c:spPr>
            <a:solidFill>
              <a:schemeClr val="accent5"/>
            </a:solidFill>
          </c:spPr>
          <c:invertIfNegative val="0"/>
          <c:dLbls>
            <c:spPr>
              <a:noFill/>
              <a:ln>
                <a:noFill/>
              </a:ln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'لوحة التحكم'!$B$11:$C$11</c:f>
              <c:strCache>
                <c:ptCount val="2"/>
                <c:pt idx="0">
                  <c:v>Asset Type</c:v>
                </c:pt>
                <c:pt idx="1">
                  <c:v>العدد</c:v>
                </c:pt>
              </c:strCache>
            </c:strRef>
          </c:cat>
          <c:val>
            <c:numRef>
              <c:f>'لوحة التحكم'!$B$16:$C$16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BB-4739-B701-E4B7FA003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71414478"/>
        <c:axId val="82216421"/>
      </c:barChart>
      <c:catAx>
        <c:axId val="714144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82216421"/>
        <c:crosses val="autoZero"/>
        <c:auto val="1"/>
        <c:lblAlgn val="ctr"/>
        <c:lblOffset val="0"/>
        <c:tickMarkSkip val="1"/>
        <c:noMultiLvlLbl val="1"/>
      </c:catAx>
      <c:valAx>
        <c:axId val="82216421"/>
        <c:scaling>
          <c:orientation val="minMax"/>
        </c:scaling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txPr>
          <a:bodyPr/>
          <a:lstStyle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en-US"/>
          </a:p>
        </c:txPr>
        <c:crossAx val="71414478"/>
        <c:crosses val="autoZero"/>
        <c:crossBetween val="between"/>
      </c:valAx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توزيع الأصول حسب الموقع</a:t>
            </a:r>
            <a:endParaRPr lang="ar-SA"/>
          </a:p>
        </c:rich>
      </c:tx>
      <c:overlay val="0"/>
      <c:spPr>
        <a:noFill/>
        <a:ln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'لوحة التحكم'!$I$20</c:f>
              <c:strCache>
                <c:ptCount val="1"/>
                <c:pt idx="0">
                  <c:v>عدد الأصول</c:v>
                </c:pt>
              </c:strCache>
            </c:strRef>
          </c:tx>
          <c:spPr>
            <a:ln w="19050">
              <a:solidFill>
                <a:srgbClr val="FFFFFF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C8-493A-AD84-DD6C69D1BA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C8-493A-AD84-DD6C69D1BA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C8-493A-AD84-DD6C69D1BA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C8-493A-AD84-DD6C69D1BA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8C8-493A-AD84-DD6C69D1BA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C8-493A-AD84-DD6C69D1BA78}"/>
              </c:ext>
            </c:extLst>
          </c:dPt>
          <c:dLbls>
            <c:spPr>
              <a:noFill/>
              <a:ln>
                <a:noFill/>
              </a:ln>
            </c:sp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'لوحة التحكم'!$G$21:$H$26</c:f>
              <c:multiLvlStrCache>
                <c:ptCount val="6"/>
                <c:lvl>
                  <c:pt idx="0">
                    <c:v>Classrooms</c:v>
                  </c:pt>
                  <c:pt idx="1">
                    <c:v>Senior Management</c:v>
                  </c:pt>
                  <c:pt idx="2">
                    <c:v>Teachers Lounge</c:v>
                  </c:pt>
                  <c:pt idx="3">
                    <c:v>Student Affairs</c:v>
                  </c:pt>
                  <c:pt idx="4">
                    <c:v>Finance Office</c:v>
                  </c:pt>
                  <c:pt idx="5">
                    <c:v>Other Locations</c:v>
                  </c:pt>
                </c:lvl>
                <c:lvl>
                  <c:pt idx="0">
                    <c:v>قاعات دراسية</c:v>
                  </c:pt>
                  <c:pt idx="1">
                    <c:v>الإدارة العليا</c:v>
                  </c:pt>
                  <c:pt idx="2">
                    <c:v>استراحة المدرسين</c:v>
                  </c:pt>
                  <c:pt idx="3">
                    <c:v>شؤون الطلاب</c:v>
                  </c:pt>
                  <c:pt idx="4">
                    <c:v>المالية والحسابات</c:v>
                  </c:pt>
                  <c:pt idx="5">
                    <c:v>مواقع أخرى</c:v>
                  </c:pt>
                </c:lvl>
              </c:multiLvlStrCache>
            </c:multiLvlStrRef>
          </c:cat>
          <c:val>
            <c:numRef>
              <c:f>'لوحة التحكم'!$I$21:$I$26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3E-4093-9046-F03838CC8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lstStyle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35</xdr:row>
      <xdr:rowOff>57150</xdr:rowOff>
    </xdr:from>
    <xdr:to>
      <xdr:col>10</xdr:col>
      <xdr:colOff>238125</xdr:colOff>
      <xdr:row>54</xdr:row>
      <xdr:rowOff>38100</xdr:rowOff>
    </xdr:to>
    <xdr:graphicFrame macro="">
      <xdr:nvGraphicFramePr>
        <xdr:cNvPr id="2" name="AssetType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39</xdr:row>
      <xdr:rowOff>57150</xdr:rowOff>
    </xdr:from>
    <xdr:to>
      <xdr:col>4</xdr:col>
      <xdr:colOff>171450</xdr:colOff>
      <xdr:row>53</xdr:row>
      <xdr:rowOff>133350</xdr:rowOff>
    </xdr:to>
    <xdr:graphicFrame macro="">
      <xdr:nvGraphicFramePr>
        <xdr:cNvPr id="3" name="LocationPie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0598-CBB8-D278-62D8-E13F726D47AB}">
  <dimension ref="A1:E64"/>
  <sheetViews>
    <sheetView rightToLeft="1" workbookViewId="0">
      <selection activeCell="A19" sqref="A19"/>
    </sheetView>
  </sheetViews>
  <sheetFormatPr defaultColWidth="8.88671875" defaultRowHeight="15" customHeight="1"/>
  <cols>
    <col min="1" max="1" width="21.44140625" customWidth="1"/>
    <col min="2" max="4" width="25.6640625" customWidth="1"/>
    <col min="5" max="5" width="50" customWidth="1"/>
  </cols>
  <sheetData>
    <row r="1" spans="1:5" ht="22.5" customHeight="1">
      <c r="A1" s="44" t="s">
        <v>0</v>
      </c>
      <c r="B1" s="42"/>
      <c r="C1" s="42"/>
      <c r="D1" s="42"/>
      <c r="E1" s="42"/>
    </row>
    <row r="2" spans="1:5" ht="15.75" customHeight="1">
      <c r="A2" s="45" t="s">
        <v>1</v>
      </c>
      <c r="B2" s="42"/>
      <c r="C2" s="42"/>
      <c r="D2" s="42"/>
      <c r="E2" s="42"/>
    </row>
    <row r="4" spans="1:5" ht="1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5" customHeight="1">
      <c r="A5" s="2" t="s">
        <v>7</v>
      </c>
      <c r="B5" s="2" t="s">
        <v>8</v>
      </c>
      <c r="C5" s="2" t="s">
        <v>4</v>
      </c>
      <c r="D5" s="2" t="s">
        <v>5</v>
      </c>
      <c r="E5" s="2" t="s">
        <v>9</v>
      </c>
    </row>
    <row r="6" spans="1:5" ht="15" customHeight="1">
      <c r="A6" s="3" t="s">
        <v>10</v>
      </c>
      <c r="B6" s="3" t="s">
        <v>11</v>
      </c>
      <c r="C6" s="3" t="s">
        <v>4</v>
      </c>
      <c r="D6" s="3" t="s">
        <v>5</v>
      </c>
      <c r="E6" s="3" t="s">
        <v>12</v>
      </c>
    </row>
    <row r="7" spans="1:5" ht="15" customHeight="1">
      <c r="A7" s="2" t="s">
        <v>13</v>
      </c>
      <c r="B7" s="2" t="s">
        <v>14</v>
      </c>
      <c r="C7" s="2" t="s">
        <v>4</v>
      </c>
      <c r="D7" s="2" t="s">
        <v>5</v>
      </c>
      <c r="E7" s="2" t="s">
        <v>15</v>
      </c>
    </row>
    <row r="8" spans="1:5" ht="15" customHeight="1">
      <c r="A8" s="3" t="s">
        <v>16</v>
      </c>
      <c r="B8" s="3" t="s">
        <v>17</v>
      </c>
      <c r="C8" s="3" t="s">
        <v>4</v>
      </c>
      <c r="D8" s="3" t="s">
        <v>5</v>
      </c>
      <c r="E8" s="3" t="s">
        <v>18</v>
      </c>
    </row>
    <row r="9" spans="1:5" ht="15" customHeight="1">
      <c r="A9" s="2" t="s">
        <v>19</v>
      </c>
      <c r="B9" s="2" t="s">
        <v>20</v>
      </c>
      <c r="C9" s="2" t="s">
        <v>21</v>
      </c>
      <c r="D9" s="2" t="s">
        <v>22</v>
      </c>
      <c r="E9" s="2" t="s">
        <v>23</v>
      </c>
    </row>
    <row r="10" spans="1:5" ht="15" customHeight="1">
      <c r="A10" s="3" t="s">
        <v>24</v>
      </c>
      <c r="B10" s="3" t="s">
        <v>25</v>
      </c>
      <c r="C10" s="3" t="s">
        <v>21</v>
      </c>
      <c r="D10" s="3" t="s">
        <v>22</v>
      </c>
      <c r="E10" s="3" t="s">
        <v>26</v>
      </c>
    </row>
    <row r="11" spans="1:5" ht="15" customHeight="1">
      <c r="A11" s="2" t="s">
        <v>27</v>
      </c>
      <c r="B11" s="2" t="s">
        <v>28</v>
      </c>
      <c r="C11" s="2" t="s">
        <v>21</v>
      </c>
      <c r="D11" s="2" t="s">
        <v>22</v>
      </c>
      <c r="E11" s="2" t="s">
        <v>29</v>
      </c>
    </row>
    <row r="12" spans="1:5" ht="15" customHeight="1">
      <c r="A12" s="3" t="s">
        <v>30</v>
      </c>
      <c r="B12" s="3" t="s">
        <v>31</v>
      </c>
      <c r="C12" s="3" t="s">
        <v>21</v>
      </c>
      <c r="D12" s="3" t="s">
        <v>22</v>
      </c>
      <c r="E12" s="3" t="s">
        <v>32</v>
      </c>
    </row>
    <row r="13" spans="1:5" ht="15" customHeight="1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</row>
    <row r="14" spans="1:5" ht="15" customHeight="1">
      <c r="A14" s="3" t="s">
        <v>38</v>
      </c>
      <c r="B14" s="3" t="s">
        <v>39</v>
      </c>
      <c r="C14" s="3" t="s">
        <v>35</v>
      </c>
      <c r="D14" s="3" t="s">
        <v>36</v>
      </c>
      <c r="E14" s="3" t="s">
        <v>40</v>
      </c>
    </row>
    <row r="15" spans="1:5" ht="15" customHeight="1">
      <c r="A15" s="2" t="s">
        <v>41</v>
      </c>
      <c r="B15" s="2" t="s">
        <v>42</v>
      </c>
      <c r="C15" s="2" t="s">
        <v>43</v>
      </c>
      <c r="D15" s="2" t="s">
        <v>44</v>
      </c>
      <c r="E15" s="2" t="s">
        <v>45</v>
      </c>
    </row>
    <row r="16" spans="1:5" ht="15" customHeight="1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</row>
    <row r="17" spans="1:5" ht="15" customHeight="1">
      <c r="A17" s="2" t="s">
        <v>51</v>
      </c>
      <c r="B17" s="2" t="s">
        <v>52</v>
      </c>
      <c r="C17" s="2" t="s">
        <v>48</v>
      </c>
      <c r="D17" s="2" t="s">
        <v>49</v>
      </c>
      <c r="E17" s="2" t="s">
        <v>53</v>
      </c>
    </row>
    <row r="18" spans="1:5" ht="15" customHeight="1">
      <c r="A18" s="3" t="s">
        <v>54</v>
      </c>
      <c r="B18" s="3" t="s">
        <v>55</v>
      </c>
      <c r="C18" s="3" t="s">
        <v>48</v>
      </c>
      <c r="D18" s="3" t="s">
        <v>49</v>
      </c>
      <c r="E18" s="3" t="s">
        <v>56</v>
      </c>
    </row>
    <row r="19" spans="1:5" ht="15" customHeight="1">
      <c r="A19" s="2" t="s">
        <v>57</v>
      </c>
      <c r="B19" s="2" t="s">
        <v>58</v>
      </c>
      <c r="C19" s="2" t="s">
        <v>59</v>
      </c>
      <c r="D19" s="2" t="s">
        <v>60</v>
      </c>
      <c r="E19" s="2" t="s">
        <v>61</v>
      </c>
    </row>
    <row r="20" spans="1:5" ht="15" customHeight="1">
      <c r="A20" s="3" t="s">
        <v>62</v>
      </c>
      <c r="B20" s="3" t="s">
        <v>63</v>
      </c>
      <c r="C20" s="3" t="s">
        <v>64</v>
      </c>
      <c r="D20" s="3" t="s">
        <v>65</v>
      </c>
      <c r="E20" s="3" t="s">
        <v>66</v>
      </c>
    </row>
    <row r="21" spans="1:5" ht="15" customHeight="1">
      <c r="A21" s="2" t="s">
        <v>67</v>
      </c>
      <c r="B21" s="2" t="s">
        <v>68</v>
      </c>
      <c r="C21" s="2" t="s">
        <v>69</v>
      </c>
      <c r="D21" s="2" t="s">
        <v>70</v>
      </c>
      <c r="E21" s="2" t="s">
        <v>71</v>
      </c>
    </row>
    <row r="22" spans="1:5" ht="15" customHeight="1">
      <c r="A22" s="3" t="s">
        <v>72</v>
      </c>
      <c r="B22" s="3" t="s">
        <v>73</v>
      </c>
      <c r="C22" s="3" t="s">
        <v>74</v>
      </c>
      <c r="D22" s="3" t="s">
        <v>75</v>
      </c>
      <c r="E22" s="3" t="s">
        <v>76</v>
      </c>
    </row>
    <row r="23" spans="1:5" ht="15" customHeight="1">
      <c r="A23" s="2" t="s">
        <v>77</v>
      </c>
      <c r="B23" s="2" t="s">
        <v>78</v>
      </c>
      <c r="C23" s="2" t="s">
        <v>79</v>
      </c>
      <c r="D23" s="2" t="s">
        <v>80</v>
      </c>
      <c r="E23" s="2" t="s">
        <v>81</v>
      </c>
    </row>
    <row r="24" spans="1:5" ht="15" customHeight="1">
      <c r="A24" s="3" t="s">
        <v>82</v>
      </c>
      <c r="B24" s="3" t="s">
        <v>83</v>
      </c>
      <c r="C24" s="3" t="s">
        <v>84</v>
      </c>
      <c r="D24" s="3" t="s">
        <v>85</v>
      </c>
      <c r="E24" s="3" t="s">
        <v>86</v>
      </c>
    </row>
    <row r="25" spans="1:5" ht="15" customHeight="1">
      <c r="A25" s="2" t="s">
        <v>87</v>
      </c>
      <c r="B25" s="2" t="s">
        <v>88</v>
      </c>
      <c r="C25" s="2" t="s">
        <v>89</v>
      </c>
      <c r="D25" s="2" t="s">
        <v>90</v>
      </c>
      <c r="E25" s="2" t="s">
        <v>91</v>
      </c>
    </row>
    <row r="26" spans="1:5" ht="15" customHeight="1">
      <c r="A26" s="3" t="s">
        <v>92</v>
      </c>
      <c r="B26" s="3" t="s">
        <v>93</v>
      </c>
      <c r="C26" s="3" t="s">
        <v>94</v>
      </c>
      <c r="D26" s="3" t="s">
        <v>95</v>
      </c>
      <c r="E26" s="3" t="s">
        <v>96</v>
      </c>
    </row>
    <row r="27" spans="1:5" ht="15" customHeight="1">
      <c r="A27" s="2" t="s">
        <v>97</v>
      </c>
      <c r="B27" s="2" t="s">
        <v>98</v>
      </c>
      <c r="C27" s="2" t="s">
        <v>99</v>
      </c>
      <c r="D27" s="2" t="s">
        <v>100</v>
      </c>
      <c r="E27" s="2" t="s">
        <v>101</v>
      </c>
    </row>
    <row r="28" spans="1:5" ht="15" customHeight="1">
      <c r="A28" s="3" t="s">
        <v>102</v>
      </c>
      <c r="B28" s="3" t="s">
        <v>103</v>
      </c>
      <c r="C28" s="3" t="s">
        <v>104</v>
      </c>
      <c r="D28" s="3" t="s">
        <v>105</v>
      </c>
      <c r="E28" s="3" t="s">
        <v>106</v>
      </c>
    </row>
    <row r="29" spans="1:5" ht="15" customHeight="1">
      <c r="A29" s="2" t="s">
        <v>107</v>
      </c>
      <c r="B29" s="2" t="s">
        <v>108</v>
      </c>
      <c r="C29" s="2" t="s">
        <v>109</v>
      </c>
      <c r="D29" s="2" t="s">
        <v>110</v>
      </c>
      <c r="E29" s="2" t="s">
        <v>111</v>
      </c>
    </row>
    <row r="30" spans="1:5" ht="15" customHeight="1">
      <c r="A30" s="3" t="s">
        <v>112</v>
      </c>
      <c r="B30" s="3" t="s">
        <v>113</v>
      </c>
      <c r="C30" s="3" t="s">
        <v>109</v>
      </c>
      <c r="D30" s="3" t="s">
        <v>110</v>
      </c>
      <c r="E30" s="3" t="s">
        <v>114</v>
      </c>
    </row>
    <row r="31" spans="1:5" ht="15" customHeight="1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119</v>
      </c>
    </row>
    <row r="32" spans="1:5" ht="15" customHeight="1">
      <c r="A32" s="3" t="s">
        <v>120</v>
      </c>
      <c r="B32" s="3" t="s">
        <v>121</v>
      </c>
      <c r="C32" s="3" t="s">
        <v>122</v>
      </c>
      <c r="D32" s="3" t="s">
        <v>123</v>
      </c>
      <c r="E32" s="3" t="s">
        <v>124</v>
      </c>
    </row>
    <row r="33" spans="1:5" ht="15" customHeight="1">
      <c r="A33" s="2" t="s">
        <v>125</v>
      </c>
      <c r="B33" s="2" t="s">
        <v>126</v>
      </c>
      <c r="C33" s="2" t="s">
        <v>127</v>
      </c>
      <c r="D33" s="2" t="s">
        <v>128</v>
      </c>
      <c r="E33" s="2" t="s">
        <v>129</v>
      </c>
    </row>
    <row r="34" spans="1:5" ht="15" customHeight="1">
      <c r="A34" s="3" t="s">
        <v>130</v>
      </c>
      <c r="B34" s="3" t="s">
        <v>131</v>
      </c>
      <c r="C34" s="3" t="s">
        <v>132</v>
      </c>
      <c r="D34" s="3" t="s">
        <v>133</v>
      </c>
      <c r="E34" s="3" t="s">
        <v>134</v>
      </c>
    </row>
    <row r="35" spans="1:5" ht="15" customHeight="1">
      <c r="A35" s="2" t="s">
        <v>135</v>
      </c>
      <c r="B35" s="2" t="s">
        <v>136</v>
      </c>
      <c r="C35" s="2" t="s">
        <v>137</v>
      </c>
      <c r="D35" s="2" t="s">
        <v>138</v>
      </c>
      <c r="E35" s="2" t="s">
        <v>139</v>
      </c>
    </row>
    <row r="36" spans="1:5" ht="15" customHeight="1">
      <c r="A36" s="3"/>
      <c r="B36" s="3"/>
      <c r="C36" s="3"/>
      <c r="D36" s="3"/>
      <c r="E36" s="3"/>
    </row>
    <row r="38" spans="1:5" ht="15" customHeight="1">
      <c r="A38" s="46" t="s">
        <v>140</v>
      </c>
      <c r="B38" s="42"/>
      <c r="C38" s="42"/>
      <c r="D38" s="42"/>
      <c r="E38" s="42"/>
    </row>
    <row r="40" spans="1:5" ht="15" customHeight="1">
      <c r="A40" s="1" t="s">
        <v>141</v>
      </c>
      <c r="B40" s="1" t="s">
        <v>142</v>
      </c>
      <c r="C40" s="1" t="s">
        <v>143</v>
      </c>
      <c r="D40" s="1" t="s">
        <v>144</v>
      </c>
      <c r="E40" s="1" t="s">
        <v>145</v>
      </c>
    </row>
    <row r="41" spans="1:5" ht="15" customHeight="1">
      <c r="A41" s="2" t="s">
        <v>146</v>
      </c>
      <c r="B41" s="2" t="s">
        <v>147</v>
      </c>
      <c r="C41" s="2" t="s">
        <v>148</v>
      </c>
      <c r="D41" s="2" t="s">
        <v>149</v>
      </c>
      <c r="E41" s="2" t="s">
        <v>150</v>
      </c>
    </row>
    <row r="42" spans="1:5" ht="15" customHeight="1">
      <c r="A42" s="3" t="s">
        <v>151</v>
      </c>
      <c r="B42" s="3" t="s">
        <v>152</v>
      </c>
      <c r="C42" s="3" t="s">
        <v>153</v>
      </c>
      <c r="D42" s="3" t="s">
        <v>154</v>
      </c>
      <c r="E42" s="3" t="s">
        <v>155</v>
      </c>
    </row>
    <row r="43" spans="1:5" ht="15" customHeight="1">
      <c r="A43" s="2" t="s">
        <v>156</v>
      </c>
      <c r="B43" s="2" t="s">
        <v>157</v>
      </c>
      <c r="C43" s="2" t="s">
        <v>158</v>
      </c>
      <c r="D43" s="2" t="s">
        <v>159</v>
      </c>
      <c r="E43" s="2" t="s">
        <v>160</v>
      </c>
    </row>
    <row r="44" spans="1:5" ht="15" customHeight="1">
      <c r="A44" s="3" t="s">
        <v>161</v>
      </c>
      <c r="B44" s="3" t="s">
        <v>162</v>
      </c>
      <c r="C44" s="3" t="s">
        <v>163</v>
      </c>
      <c r="D44" s="3" t="s">
        <v>164</v>
      </c>
      <c r="E44" s="3" t="s">
        <v>165</v>
      </c>
    </row>
    <row r="45" spans="1:5" ht="15" customHeight="1">
      <c r="A45" s="2" t="s">
        <v>166</v>
      </c>
      <c r="B45" s="2" t="s">
        <v>167</v>
      </c>
      <c r="C45" s="2" t="s">
        <v>168</v>
      </c>
      <c r="D45" s="2" t="s">
        <v>169</v>
      </c>
      <c r="E45" s="2" t="s">
        <v>170</v>
      </c>
    </row>
    <row r="46" spans="1:5" ht="15" customHeight="1">
      <c r="A46" s="3" t="s">
        <v>171</v>
      </c>
      <c r="B46" s="3" t="s">
        <v>172</v>
      </c>
      <c r="C46" s="3" t="s">
        <v>173</v>
      </c>
      <c r="D46" s="3" t="s">
        <v>174</v>
      </c>
      <c r="E46" s="3" t="s">
        <v>175</v>
      </c>
    </row>
    <row r="47" spans="1:5" ht="15" customHeight="1">
      <c r="A47" s="2" t="s">
        <v>176</v>
      </c>
      <c r="B47" s="2" t="s">
        <v>177</v>
      </c>
      <c r="C47" s="2" t="s">
        <v>178</v>
      </c>
      <c r="D47" s="2" t="s">
        <v>179</v>
      </c>
      <c r="E47" s="2" t="s">
        <v>180</v>
      </c>
    </row>
    <row r="48" spans="1:5" ht="15" customHeight="1">
      <c r="A48" s="3" t="s">
        <v>181</v>
      </c>
      <c r="B48" s="3" t="s">
        <v>182</v>
      </c>
      <c r="C48" s="3" t="s">
        <v>183</v>
      </c>
      <c r="D48" s="3" t="s">
        <v>184</v>
      </c>
      <c r="E48" s="3" t="s">
        <v>185</v>
      </c>
    </row>
    <row r="49" spans="1:5" ht="15" customHeight="1">
      <c r="A49" s="2" t="s">
        <v>186</v>
      </c>
      <c r="B49" s="2" t="s">
        <v>187</v>
      </c>
      <c r="C49" s="2" t="s">
        <v>188</v>
      </c>
      <c r="D49" s="2" t="s">
        <v>187</v>
      </c>
      <c r="E49" s="2" t="s">
        <v>189</v>
      </c>
    </row>
    <row r="50" spans="1:5" ht="15" customHeight="1">
      <c r="A50" s="3" t="s">
        <v>190</v>
      </c>
      <c r="B50" s="3" t="s">
        <v>191</v>
      </c>
      <c r="C50" s="3" t="s">
        <v>192</v>
      </c>
      <c r="D50" s="3" t="s">
        <v>193</v>
      </c>
      <c r="E50" s="3" t="s">
        <v>194</v>
      </c>
    </row>
    <row r="51" spans="1:5" ht="15" customHeight="1">
      <c r="A51" s="2" t="s">
        <v>195</v>
      </c>
      <c r="B51" s="2" t="s">
        <v>196</v>
      </c>
      <c r="C51" s="2" t="s">
        <v>197</v>
      </c>
      <c r="D51" s="2" t="s">
        <v>196</v>
      </c>
      <c r="E51" s="2" t="s">
        <v>198</v>
      </c>
    </row>
    <row r="52" spans="1:5" ht="15" customHeight="1">
      <c r="A52" s="3" t="s">
        <v>199</v>
      </c>
      <c r="B52" s="3" t="s">
        <v>200</v>
      </c>
      <c r="C52" s="3" t="s">
        <v>201</v>
      </c>
      <c r="D52" s="3" t="s">
        <v>200</v>
      </c>
      <c r="E52" s="3" t="s">
        <v>202</v>
      </c>
    </row>
    <row r="53" spans="1:5" ht="15" customHeight="1">
      <c r="A53" s="2" t="s">
        <v>203</v>
      </c>
      <c r="B53" s="2" t="s">
        <v>204</v>
      </c>
      <c r="C53" s="2" t="s">
        <v>205</v>
      </c>
      <c r="D53" s="2" t="s">
        <v>204</v>
      </c>
      <c r="E53" s="2" t="s">
        <v>206</v>
      </c>
    </row>
    <row r="54" spans="1:5" ht="15" customHeight="1">
      <c r="A54" s="3" t="s">
        <v>207</v>
      </c>
      <c r="B54" s="3" t="s">
        <v>208</v>
      </c>
      <c r="C54" s="3" t="s">
        <v>209</v>
      </c>
      <c r="D54" s="3" t="s">
        <v>208</v>
      </c>
      <c r="E54" s="3" t="s">
        <v>210</v>
      </c>
    </row>
    <row r="55" spans="1:5" ht="15" customHeight="1">
      <c r="A55" s="2" t="s">
        <v>211</v>
      </c>
      <c r="B55" s="2" t="s">
        <v>212</v>
      </c>
      <c r="C55" s="2" t="s">
        <v>213</v>
      </c>
      <c r="D55" s="2" t="s">
        <v>212</v>
      </c>
      <c r="E55" s="2" t="s">
        <v>214</v>
      </c>
    </row>
    <row r="56" spans="1:5" ht="15" customHeight="1">
      <c r="A56" s="3" t="s">
        <v>215</v>
      </c>
      <c r="B56" s="3" t="s">
        <v>216</v>
      </c>
      <c r="C56" s="3" t="s">
        <v>217</v>
      </c>
      <c r="D56" s="3" t="s">
        <v>216</v>
      </c>
      <c r="E56" s="3" t="s">
        <v>218</v>
      </c>
    </row>
    <row r="57" spans="1:5" ht="15" customHeight="1">
      <c r="A57" s="2" t="s">
        <v>219</v>
      </c>
      <c r="B57" s="2" t="s">
        <v>220</v>
      </c>
      <c r="C57" s="2" t="s">
        <v>221</v>
      </c>
      <c r="D57" s="2" t="s">
        <v>222</v>
      </c>
      <c r="E57" s="2" t="s">
        <v>223</v>
      </c>
    </row>
    <row r="58" spans="1:5" ht="15" customHeight="1">
      <c r="A58" s="3" t="s">
        <v>224</v>
      </c>
      <c r="B58" s="3" t="s">
        <v>225</v>
      </c>
      <c r="C58" s="3" t="s">
        <v>226</v>
      </c>
      <c r="D58" s="3" t="s">
        <v>225</v>
      </c>
      <c r="E58" s="3" t="s">
        <v>227</v>
      </c>
    </row>
    <row r="59" spans="1:5" ht="15" customHeight="1">
      <c r="A59" s="2" t="s">
        <v>228</v>
      </c>
      <c r="B59" s="2" t="s">
        <v>229</v>
      </c>
      <c r="C59" s="2" t="s">
        <v>230</v>
      </c>
      <c r="D59" s="2" t="s">
        <v>229</v>
      </c>
      <c r="E59" s="2" t="s">
        <v>231</v>
      </c>
    </row>
    <row r="60" spans="1:5" ht="15" customHeight="1">
      <c r="A60" s="3" t="s">
        <v>232</v>
      </c>
      <c r="B60" s="3" t="s">
        <v>233</v>
      </c>
      <c r="C60" s="3" t="s">
        <v>234</v>
      </c>
      <c r="D60" s="3" t="s">
        <v>233</v>
      </c>
      <c r="E60" s="3" t="s">
        <v>235</v>
      </c>
    </row>
    <row r="61" spans="1:5" ht="15" customHeight="1">
      <c r="A61" s="2" t="s">
        <v>236</v>
      </c>
      <c r="B61" s="2" t="s">
        <v>237</v>
      </c>
      <c r="C61" s="2" t="s">
        <v>238</v>
      </c>
      <c r="D61" s="2" t="s">
        <v>237</v>
      </c>
      <c r="E61" s="2" t="s">
        <v>239</v>
      </c>
    </row>
    <row r="62" spans="1:5" ht="15" customHeight="1">
      <c r="A62" s="3" t="s">
        <v>240</v>
      </c>
      <c r="B62" s="3" t="s">
        <v>241</v>
      </c>
      <c r="C62" s="3" t="s">
        <v>242</v>
      </c>
      <c r="D62" s="3" t="s">
        <v>243</v>
      </c>
      <c r="E62" s="3" t="s">
        <v>244</v>
      </c>
    </row>
    <row r="63" spans="1:5" ht="15" customHeight="1">
      <c r="A63" s="2"/>
      <c r="B63" s="2"/>
      <c r="C63" s="2"/>
      <c r="D63" s="2"/>
      <c r="E63" s="2"/>
    </row>
    <row r="64" spans="1:5" ht="15.75" customHeight="1">
      <c r="A64" s="4" t="s">
        <v>245</v>
      </c>
      <c r="B64" s="4" t="s">
        <v>246</v>
      </c>
      <c r="C64" s="4" t="s">
        <v>247</v>
      </c>
      <c r="D64" s="4" t="s">
        <v>248</v>
      </c>
      <c r="E64" s="4" t="s">
        <v>249</v>
      </c>
    </row>
  </sheetData>
  <mergeCells count="3">
    <mergeCell ref="A1:E1"/>
    <mergeCell ref="A2:E2"/>
    <mergeCell ref="A38:E38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36B9-B1B8-AD38-EA66-44510306EBC8}">
  <dimension ref="A1:F49"/>
  <sheetViews>
    <sheetView rightToLeft="1" tabSelected="1" workbookViewId="0">
      <pane ySplit="4" topLeftCell="A5" activePane="bottomLeft" state="frozen"/>
      <selection pane="bottomLeft" activeCell="A5" sqref="A5"/>
    </sheetView>
  </sheetViews>
  <sheetFormatPr defaultColWidth="8.88671875" defaultRowHeight="15" customHeight="1"/>
  <cols>
    <col min="1" max="1" width="30.5546875" customWidth="1"/>
    <col min="2" max="2" width="18.33203125" customWidth="1"/>
    <col min="3" max="3" width="47.5546875" customWidth="1"/>
    <col min="4" max="4" width="20.6640625" customWidth="1"/>
    <col min="5" max="5" width="8.5546875" customWidth="1"/>
    <col min="6" max="6" width="28" customWidth="1"/>
  </cols>
  <sheetData>
    <row r="1" spans="1:6" ht="21" customHeight="1">
      <c r="A1" s="41" t="s">
        <v>250</v>
      </c>
      <c r="B1" s="42"/>
      <c r="C1" s="42"/>
      <c r="D1" s="42"/>
      <c r="E1" s="42"/>
      <c r="F1" s="42"/>
    </row>
    <row r="2" spans="1:6" ht="15" customHeight="1">
      <c r="A2" s="43" t="s">
        <v>251</v>
      </c>
      <c r="B2" s="42"/>
      <c r="C2" s="42"/>
      <c r="D2" s="42"/>
      <c r="E2" s="42"/>
      <c r="F2" s="42"/>
    </row>
    <row r="4" spans="1:6" s="5" customFormat="1" ht="15" customHeight="1">
      <c r="A4" s="6" t="s">
        <v>252</v>
      </c>
      <c r="B4" s="6" t="s">
        <v>253</v>
      </c>
      <c r="C4" s="6" t="s">
        <v>254</v>
      </c>
      <c r="D4" s="6" t="s">
        <v>255</v>
      </c>
      <c r="E4" s="6" t="s">
        <v>256</v>
      </c>
      <c r="F4" s="6" t="s">
        <v>257</v>
      </c>
    </row>
    <row r="5" spans="1:6" s="7" customFormat="1" ht="15" customHeight="1">
      <c r="A5" s="8" t="s">
        <v>57</v>
      </c>
      <c r="B5" s="9" t="s">
        <v>258</v>
      </c>
      <c r="C5" s="9" t="s">
        <v>259</v>
      </c>
      <c r="D5" s="9" t="s">
        <v>260</v>
      </c>
      <c r="E5" s="10" t="s">
        <v>261</v>
      </c>
      <c r="F5" s="9"/>
    </row>
    <row r="6" spans="1:6" s="7" customFormat="1" ht="20.25" customHeight="1">
      <c r="A6" s="11"/>
      <c r="B6" s="12"/>
      <c r="C6" s="12"/>
      <c r="D6" s="12"/>
      <c r="E6" s="13"/>
      <c r="F6" s="12"/>
    </row>
    <row r="7" spans="1:6" s="7" customFormat="1" ht="20.25" customHeight="1">
      <c r="A7" s="11"/>
      <c r="B7" s="12"/>
      <c r="C7" s="12"/>
      <c r="D7" s="12"/>
      <c r="E7" s="13"/>
      <c r="F7" s="12"/>
    </row>
    <row r="8" spans="1:6" s="7" customFormat="1" ht="20.25" customHeight="1">
      <c r="A8" s="11"/>
      <c r="B8" s="12"/>
      <c r="C8" s="12"/>
      <c r="D8" s="12"/>
      <c r="E8" s="13"/>
      <c r="F8" s="12"/>
    </row>
    <row r="9" spans="1:6" s="7" customFormat="1" ht="20.25" customHeight="1">
      <c r="A9" s="11"/>
      <c r="B9" s="12"/>
      <c r="C9" s="12"/>
      <c r="D9" s="12"/>
      <c r="E9" s="13"/>
      <c r="F9" s="12"/>
    </row>
    <row r="10" spans="1:6" s="7" customFormat="1" ht="20.25" customHeight="1">
      <c r="A10" s="11"/>
      <c r="B10" s="12"/>
      <c r="C10" s="12"/>
      <c r="D10" s="12"/>
      <c r="E10" s="13"/>
      <c r="F10" s="12"/>
    </row>
    <row r="11" spans="1:6" s="7" customFormat="1" ht="15" customHeight="1">
      <c r="A11" s="8"/>
      <c r="B11" s="9"/>
      <c r="C11" s="9"/>
      <c r="D11" s="9"/>
      <c r="E11" s="10"/>
      <c r="F11" s="9"/>
    </row>
    <row r="12" spans="1:6" s="7" customFormat="1" ht="15" customHeight="1">
      <c r="A12" s="14"/>
      <c r="B12" s="15"/>
      <c r="C12" s="15"/>
      <c r="D12" s="15"/>
      <c r="E12" s="16"/>
      <c r="F12" s="15"/>
    </row>
    <row r="13" spans="1:6" s="7" customFormat="1" ht="15" customHeight="1">
      <c r="A13" s="17"/>
      <c r="B13" s="18"/>
      <c r="C13" s="18"/>
      <c r="D13" s="18"/>
      <c r="E13" s="19"/>
      <c r="F13" s="18"/>
    </row>
    <row r="14" spans="1:6" ht="15" customHeight="1">
      <c r="A14" s="8"/>
      <c r="B14" s="9"/>
      <c r="C14" s="9"/>
      <c r="D14" s="9"/>
      <c r="E14" s="10"/>
      <c r="F14" s="9"/>
    </row>
    <row r="15" spans="1:6" ht="15" customHeight="1">
      <c r="A15" s="11"/>
      <c r="B15" s="12"/>
      <c r="C15" s="12"/>
      <c r="D15" s="12"/>
      <c r="E15" s="13"/>
      <c r="F15" s="12"/>
    </row>
    <row r="16" spans="1:6" ht="15" customHeight="1">
      <c r="A16" s="11"/>
      <c r="B16" s="12"/>
      <c r="C16" s="12"/>
      <c r="D16" s="12"/>
      <c r="E16" s="13"/>
      <c r="F16" s="12"/>
    </row>
    <row r="17" spans="1:6" ht="15" customHeight="1">
      <c r="A17" s="11"/>
      <c r="B17" s="12"/>
      <c r="C17" s="12"/>
      <c r="D17" s="12"/>
      <c r="E17" s="13"/>
      <c r="F17" s="12"/>
    </row>
    <row r="18" spans="1:6" ht="15" customHeight="1">
      <c r="A18" s="11"/>
      <c r="B18" s="12"/>
      <c r="C18" s="12"/>
      <c r="D18" s="12"/>
      <c r="E18" s="13"/>
      <c r="F18" s="12"/>
    </row>
    <row r="19" spans="1:6" ht="15" customHeight="1">
      <c r="A19" s="11"/>
      <c r="B19" s="12"/>
      <c r="C19" s="12"/>
      <c r="D19" s="12"/>
      <c r="E19" s="13"/>
      <c r="F19" s="12"/>
    </row>
    <row r="20" spans="1:6" ht="15" customHeight="1">
      <c r="A20" s="8"/>
      <c r="B20" s="9"/>
      <c r="C20" s="9"/>
      <c r="D20" s="9"/>
      <c r="E20" s="10"/>
      <c r="F20" s="9"/>
    </row>
    <row r="21" spans="1:6" ht="15" customHeight="1">
      <c r="A21" s="14"/>
      <c r="B21" s="15"/>
      <c r="C21" s="15"/>
      <c r="D21" s="15"/>
      <c r="E21" s="16"/>
      <c r="F21" s="15"/>
    </row>
    <row r="22" spans="1:6" ht="15" customHeight="1">
      <c r="A22" s="17"/>
      <c r="B22" s="18"/>
      <c r="C22" s="18"/>
      <c r="D22" s="18"/>
      <c r="E22" s="19"/>
      <c r="F22" s="18"/>
    </row>
    <row r="23" spans="1:6" ht="15" customHeight="1">
      <c r="A23" s="8"/>
      <c r="B23" s="9"/>
      <c r="C23" s="9"/>
      <c r="D23" s="9"/>
      <c r="E23" s="10"/>
      <c r="F23" s="9"/>
    </row>
    <row r="24" spans="1:6" ht="15" customHeight="1">
      <c r="A24" s="11"/>
      <c r="B24" s="12"/>
      <c r="C24" s="12"/>
      <c r="D24" s="12"/>
      <c r="E24" s="13"/>
      <c r="F24" s="12"/>
    </row>
    <row r="25" spans="1:6" ht="15" customHeight="1">
      <c r="A25" s="11"/>
      <c r="B25" s="12"/>
      <c r="C25" s="12"/>
      <c r="D25" s="12"/>
      <c r="E25" s="13"/>
      <c r="F25" s="12"/>
    </row>
    <row r="26" spans="1:6" ht="15" customHeight="1">
      <c r="A26" s="11"/>
      <c r="B26" s="12"/>
      <c r="C26" s="12"/>
      <c r="D26" s="12"/>
      <c r="E26" s="13"/>
      <c r="F26" s="12"/>
    </row>
    <row r="27" spans="1:6" ht="15" customHeight="1">
      <c r="A27" s="11"/>
      <c r="B27" s="12"/>
      <c r="C27" s="12"/>
      <c r="D27" s="12"/>
      <c r="E27" s="13"/>
      <c r="F27" s="12"/>
    </row>
    <row r="28" spans="1:6" ht="15" customHeight="1">
      <c r="A28" s="11"/>
      <c r="B28" s="12"/>
      <c r="C28" s="12"/>
      <c r="D28" s="12"/>
      <c r="E28" s="13"/>
      <c r="F28" s="12"/>
    </row>
    <row r="29" spans="1:6" ht="15" customHeight="1">
      <c r="A29" s="8"/>
      <c r="B29" s="9"/>
      <c r="C29" s="9"/>
      <c r="D29" s="9"/>
      <c r="E29" s="10"/>
      <c r="F29" s="9"/>
    </row>
    <row r="30" spans="1:6" ht="15" customHeight="1">
      <c r="A30" s="14"/>
      <c r="B30" s="15"/>
      <c r="C30" s="15"/>
      <c r="D30" s="15"/>
      <c r="E30" s="16"/>
      <c r="F30" s="15"/>
    </row>
    <row r="31" spans="1:6" ht="15" customHeight="1">
      <c r="A31" s="17"/>
      <c r="B31" s="18"/>
      <c r="C31" s="18"/>
      <c r="D31" s="18"/>
      <c r="E31" s="19"/>
      <c r="F31" s="18"/>
    </row>
    <row r="32" spans="1:6" ht="15" customHeight="1">
      <c r="A32" s="8"/>
      <c r="B32" s="9"/>
      <c r="C32" s="9"/>
      <c r="D32" s="9"/>
      <c r="E32" s="10"/>
      <c r="F32" s="9"/>
    </row>
    <row r="33" spans="1:6" ht="15" customHeight="1">
      <c r="A33" s="11"/>
      <c r="B33" s="12"/>
      <c r="C33" s="12"/>
      <c r="D33" s="12"/>
      <c r="E33" s="13"/>
      <c r="F33" s="12"/>
    </row>
    <row r="34" spans="1:6" ht="15" customHeight="1">
      <c r="A34" s="11"/>
      <c r="B34" s="12"/>
      <c r="C34" s="12"/>
      <c r="D34" s="12"/>
      <c r="E34" s="13"/>
      <c r="F34" s="12"/>
    </row>
    <row r="35" spans="1:6" ht="15" customHeight="1">
      <c r="A35" s="11"/>
      <c r="B35" s="12"/>
      <c r="C35" s="12"/>
      <c r="D35" s="12"/>
      <c r="E35" s="13"/>
      <c r="F35" s="12"/>
    </row>
    <row r="36" spans="1:6" ht="15" customHeight="1">
      <c r="A36" s="11"/>
      <c r="B36" s="12"/>
      <c r="C36" s="12"/>
      <c r="D36" s="12"/>
      <c r="E36" s="13"/>
      <c r="F36" s="12"/>
    </row>
    <row r="37" spans="1:6" ht="15" customHeight="1">
      <c r="A37" s="11"/>
      <c r="B37" s="12"/>
      <c r="C37" s="12"/>
      <c r="D37" s="12"/>
      <c r="E37" s="13"/>
      <c r="F37" s="12"/>
    </row>
    <row r="38" spans="1:6" ht="15" customHeight="1">
      <c r="A38" s="8"/>
      <c r="B38" s="9"/>
      <c r="C38" s="9"/>
      <c r="D38" s="9"/>
      <c r="E38" s="10"/>
      <c r="F38" s="9"/>
    </row>
    <row r="39" spans="1:6" ht="15" customHeight="1">
      <c r="A39" s="14"/>
      <c r="B39" s="15"/>
      <c r="C39" s="15"/>
      <c r="D39" s="15"/>
      <c r="E39" s="16"/>
      <c r="F39" s="15"/>
    </row>
    <row r="40" spans="1:6" ht="15" customHeight="1">
      <c r="A40" s="17"/>
      <c r="B40" s="18"/>
      <c r="C40" s="18"/>
      <c r="D40" s="18"/>
      <c r="E40" s="19"/>
      <c r="F40" s="18"/>
    </row>
    <row r="41" spans="1:6" ht="15" customHeight="1">
      <c r="A41" s="8"/>
      <c r="B41" s="9"/>
      <c r="C41" s="9"/>
      <c r="D41" s="9"/>
      <c r="E41" s="10"/>
      <c r="F41" s="9"/>
    </row>
    <row r="42" spans="1:6" ht="15" customHeight="1">
      <c r="A42" s="11"/>
      <c r="B42" s="12"/>
      <c r="C42" s="12"/>
      <c r="D42" s="12"/>
      <c r="E42" s="13"/>
      <c r="F42" s="12"/>
    </row>
    <row r="43" spans="1:6" ht="15" customHeight="1">
      <c r="A43" s="11"/>
      <c r="B43" s="12"/>
      <c r="C43" s="12"/>
      <c r="D43" s="12"/>
      <c r="E43" s="13"/>
      <c r="F43" s="12"/>
    </row>
    <row r="44" spans="1:6" ht="15" customHeight="1">
      <c r="A44" s="11"/>
      <c r="B44" s="12"/>
      <c r="C44" s="12"/>
      <c r="D44" s="12"/>
      <c r="E44" s="13"/>
      <c r="F44" s="12"/>
    </row>
    <row r="45" spans="1:6" ht="15" customHeight="1">
      <c r="A45" s="11"/>
      <c r="B45" s="12"/>
      <c r="C45" s="12"/>
      <c r="D45" s="12"/>
      <c r="E45" s="13"/>
      <c r="F45" s="12"/>
    </row>
    <row r="46" spans="1:6" ht="15" customHeight="1">
      <c r="A46" s="11"/>
      <c r="B46" s="12"/>
      <c r="C46" s="12"/>
      <c r="D46" s="12"/>
      <c r="E46" s="13"/>
      <c r="F46" s="12"/>
    </row>
    <row r="47" spans="1:6" ht="15" customHeight="1">
      <c r="A47" s="8"/>
      <c r="B47" s="9"/>
      <c r="C47" s="9"/>
      <c r="D47" s="9"/>
      <c r="E47" s="10"/>
      <c r="F47" s="9"/>
    </row>
    <row r="48" spans="1:6" ht="15" customHeight="1">
      <c r="A48" s="14"/>
      <c r="B48" s="15"/>
      <c r="C48" s="15"/>
      <c r="D48" s="15"/>
      <c r="E48" s="16"/>
      <c r="F48" s="15"/>
    </row>
    <row r="49" spans="1:6" ht="15" customHeight="1">
      <c r="A49" s="17"/>
      <c r="B49" s="18"/>
      <c r="C49" s="18"/>
      <c r="D49" s="18"/>
      <c r="E49" s="19"/>
      <c r="F49" s="18"/>
    </row>
  </sheetData>
  <mergeCells count="2">
    <mergeCell ref="A1:F1"/>
    <mergeCell ref="A2:F2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124F-B448-5688-C8FD-52708530B862}">
  <dimension ref="A1:J31"/>
  <sheetViews>
    <sheetView rightToLeft="1" topLeftCell="A4" workbookViewId="0">
      <selection activeCell="C13" sqref="C13"/>
    </sheetView>
  </sheetViews>
  <sheetFormatPr defaultColWidth="8.88671875" defaultRowHeight="15" customHeight="1"/>
  <cols>
    <col min="1" max="1" width="20" customWidth="1"/>
    <col min="2" max="4" width="28.5546875" customWidth="1"/>
    <col min="5" max="5" width="13.5546875" customWidth="1"/>
    <col min="6" max="6" width="28.5546875" customWidth="1"/>
    <col min="8" max="8" width="20" customWidth="1"/>
    <col min="9" max="9" width="22.88671875" customWidth="1"/>
    <col min="10" max="10" width="11.44140625" customWidth="1"/>
  </cols>
  <sheetData>
    <row r="1" spans="1:10" ht="21" customHeight="1">
      <c r="A1" s="50" t="s">
        <v>262</v>
      </c>
      <c r="B1" s="42"/>
      <c r="C1" s="42"/>
      <c r="D1" s="42"/>
      <c r="E1" s="42"/>
      <c r="F1" s="42"/>
    </row>
    <row r="2" spans="1:10" ht="15" customHeight="1">
      <c r="A2" s="51" t="s">
        <v>263</v>
      </c>
      <c r="B2" s="42"/>
      <c r="C2" s="42"/>
      <c r="D2" s="42"/>
      <c r="E2" s="42"/>
      <c r="F2" s="42"/>
    </row>
    <row r="4" spans="1:10" ht="15.75" customHeight="1">
      <c r="A4" s="52" t="s">
        <v>264</v>
      </c>
      <c r="B4" s="42"/>
      <c r="C4" s="42"/>
      <c r="D4" s="42"/>
      <c r="E4" s="42"/>
      <c r="F4" s="42"/>
      <c r="H4" s="49" t="s">
        <v>265</v>
      </c>
      <c r="I4" s="42"/>
      <c r="J4" s="42"/>
    </row>
    <row r="5" spans="1:10" ht="15" customHeight="1">
      <c r="A5" s="20" t="s">
        <v>266</v>
      </c>
      <c r="B5" s="20" t="s">
        <v>267</v>
      </c>
      <c r="C5" s="20" t="s">
        <v>268</v>
      </c>
      <c r="D5" s="20" t="s">
        <v>255</v>
      </c>
      <c r="E5" s="20" t="s">
        <v>256</v>
      </c>
      <c r="F5" s="20" t="s">
        <v>257</v>
      </c>
    </row>
    <row r="6" spans="1:10" ht="15" customHeight="1">
      <c r="A6" s="2" t="s">
        <v>269</v>
      </c>
      <c r="B6" s="21" t="s">
        <v>270</v>
      </c>
      <c r="C6" s="21" t="s">
        <v>271</v>
      </c>
      <c r="D6" s="21" t="s">
        <v>272</v>
      </c>
      <c r="E6" s="21" t="s">
        <v>261</v>
      </c>
      <c r="F6" s="21" t="s">
        <v>273</v>
      </c>
      <c r="H6" s="22" t="s">
        <v>274</v>
      </c>
      <c r="I6" s="22" t="s">
        <v>275</v>
      </c>
      <c r="J6" s="22" t="s">
        <v>276</v>
      </c>
    </row>
    <row r="7" spans="1:10" ht="15" customHeight="1">
      <c r="A7" s="3" t="s">
        <v>277</v>
      </c>
      <c r="B7" s="21" t="s">
        <v>278</v>
      </c>
      <c r="C7" s="21" t="s">
        <v>8</v>
      </c>
      <c r="D7" s="21" t="s">
        <v>205</v>
      </c>
      <c r="E7" s="21" t="s">
        <v>279</v>
      </c>
      <c r="F7" s="21" t="s">
        <v>280</v>
      </c>
      <c r="H7" s="21" t="s">
        <v>4</v>
      </c>
      <c r="I7" s="21" t="s">
        <v>5</v>
      </c>
      <c r="J7" s="21">
        <v>3</v>
      </c>
    </row>
    <row r="8" spans="1:10" ht="15" customHeight="1">
      <c r="A8" s="2" t="s">
        <v>281</v>
      </c>
      <c r="B8" s="21" t="s">
        <v>282</v>
      </c>
      <c r="C8" s="21" t="s">
        <v>283</v>
      </c>
      <c r="D8" s="21" t="s">
        <v>213</v>
      </c>
      <c r="E8" s="21" t="s">
        <v>261</v>
      </c>
      <c r="F8" s="21" t="s">
        <v>284</v>
      </c>
      <c r="H8" s="21" t="s">
        <v>285</v>
      </c>
      <c r="I8" s="21" t="s">
        <v>286</v>
      </c>
      <c r="J8" s="21">
        <v>3</v>
      </c>
    </row>
    <row r="9" spans="1:10" ht="15" customHeight="1">
      <c r="A9" s="21"/>
      <c r="B9" s="21"/>
      <c r="C9" s="21"/>
      <c r="D9" s="21"/>
      <c r="E9" s="21"/>
      <c r="F9" s="21"/>
      <c r="H9" s="21" t="s">
        <v>287</v>
      </c>
      <c r="I9" s="21" t="s">
        <v>288</v>
      </c>
      <c r="J9" s="21">
        <v>3</v>
      </c>
    </row>
    <row r="10" spans="1:10" ht="15.75" customHeight="1">
      <c r="A10" s="52" t="s">
        <v>289</v>
      </c>
      <c r="B10" s="42"/>
      <c r="C10" s="42"/>
      <c r="D10" s="42"/>
      <c r="E10" s="42"/>
      <c r="F10" s="42"/>
      <c r="H10" s="21" t="s">
        <v>290</v>
      </c>
      <c r="I10" s="21" t="s">
        <v>291</v>
      </c>
      <c r="J10" s="21">
        <v>2</v>
      </c>
    </row>
    <row r="11" spans="1:10" ht="15" customHeight="1">
      <c r="A11" s="20" t="s">
        <v>266</v>
      </c>
      <c r="B11" s="20" t="s">
        <v>267</v>
      </c>
      <c r="C11" s="20" t="s">
        <v>268</v>
      </c>
      <c r="D11" s="20" t="s">
        <v>255</v>
      </c>
      <c r="E11" s="20" t="s">
        <v>256</v>
      </c>
      <c r="F11" s="20" t="s">
        <v>257</v>
      </c>
      <c r="H11" s="21" t="s">
        <v>292</v>
      </c>
      <c r="I11" s="21" t="s">
        <v>110</v>
      </c>
      <c r="J11" s="21">
        <v>2</v>
      </c>
    </row>
    <row r="12" spans="1:10" ht="15" customHeight="1">
      <c r="A12" s="2" t="s">
        <v>293</v>
      </c>
      <c r="B12" s="21" t="s">
        <v>294</v>
      </c>
      <c r="C12" s="21" t="s">
        <v>295</v>
      </c>
      <c r="D12" s="21" t="s">
        <v>143</v>
      </c>
      <c r="E12" s="21" t="s">
        <v>261</v>
      </c>
      <c r="F12" s="21" t="s">
        <v>296</v>
      </c>
      <c r="H12" s="23" t="s">
        <v>297</v>
      </c>
      <c r="I12" s="23" t="s">
        <v>298</v>
      </c>
      <c r="J12" s="24">
        <v>13</v>
      </c>
    </row>
    <row r="13" spans="1:10" ht="15" customHeight="1">
      <c r="A13" s="3" t="s">
        <v>299</v>
      </c>
      <c r="B13" s="21" t="s">
        <v>300</v>
      </c>
      <c r="C13" s="21" t="s">
        <v>301</v>
      </c>
      <c r="D13" s="21" t="s">
        <v>143</v>
      </c>
      <c r="E13" s="21" t="s">
        <v>302</v>
      </c>
      <c r="F13" s="21" t="s">
        <v>303</v>
      </c>
      <c r="H13" s="21"/>
      <c r="I13" s="21"/>
      <c r="J13" s="21"/>
    </row>
    <row r="14" spans="1:10" ht="15" customHeight="1">
      <c r="A14" s="2" t="s">
        <v>304</v>
      </c>
      <c r="B14" s="21" t="s">
        <v>305</v>
      </c>
      <c r="C14" s="21" t="s">
        <v>306</v>
      </c>
      <c r="D14" s="21" t="s">
        <v>148</v>
      </c>
      <c r="E14" s="21" t="s">
        <v>279</v>
      </c>
      <c r="F14" s="21" t="s">
        <v>307</v>
      </c>
    </row>
    <row r="15" spans="1:10" ht="15" customHeight="1">
      <c r="A15" s="21"/>
      <c r="B15" s="21"/>
      <c r="C15" s="21"/>
      <c r="D15" s="21"/>
      <c r="E15" s="21"/>
      <c r="F15" s="21"/>
    </row>
    <row r="16" spans="1:10" ht="15.75" customHeight="1">
      <c r="A16" s="53" t="s">
        <v>308</v>
      </c>
      <c r="B16" s="42"/>
      <c r="C16" s="42"/>
      <c r="D16" s="42"/>
      <c r="E16" s="42"/>
      <c r="F16" s="42"/>
    </row>
    <row r="17" spans="1:6" ht="15" customHeight="1">
      <c r="A17" s="25" t="s">
        <v>266</v>
      </c>
      <c r="B17" s="25" t="s">
        <v>267</v>
      </c>
      <c r="C17" s="25" t="s">
        <v>268</v>
      </c>
      <c r="D17" s="25" t="s">
        <v>255</v>
      </c>
      <c r="E17" s="25" t="s">
        <v>256</v>
      </c>
      <c r="F17" s="25" t="s">
        <v>257</v>
      </c>
    </row>
    <row r="18" spans="1:6" ht="15" customHeight="1">
      <c r="A18" s="2" t="s">
        <v>309</v>
      </c>
      <c r="B18" s="21" t="s">
        <v>310</v>
      </c>
      <c r="C18" s="21" t="s">
        <v>311</v>
      </c>
      <c r="D18" s="21" t="s">
        <v>272</v>
      </c>
      <c r="E18" s="21" t="s">
        <v>279</v>
      </c>
      <c r="F18" s="21" t="s">
        <v>312</v>
      </c>
    </row>
    <row r="19" spans="1:6" ht="15" customHeight="1">
      <c r="A19" s="3" t="s">
        <v>313</v>
      </c>
      <c r="B19" s="21" t="s">
        <v>314</v>
      </c>
      <c r="C19" s="21" t="s">
        <v>315</v>
      </c>
      <c r="D19" s="21" t="s">
        <v>205</v>
      </c>
      <c r="E19" s="21" t="s">
        <v>261</v>
      </c>
      <c r="F19" s="21" t="s">
        <v>316</v>
      </c>
    </row>
    <row r="20" spans="1:6" ht="15" customHeight="1">
      <c r="A20" s="2" t="s">
        <v>317</v>
      </c>
      <c r="B20" s="21" t="s">
        <v>318</v>
      </c>
      <c r="C20" s="21" t="s">
        <v>319</v>
      </c>
      <c r="D20" s="21" t="s">
        <v>148</v>
      </c>
      <c r="E20" s="21" t="s">
        <v>279</v>
      </c>
      <c r="F20" s="21" t="s">
        <v>320</v>
      </c>
    </row>
    <row r="21" spans="1:6" ht="15" customHeight="1">
      <c r="A21" s="21"/>
      <c r="B21" s="21"/>
      <c r="C21" s="21"/>
      <c r="D21" s="21"/>
      <c r="E21" s="21"/>
      <c r="F21" s="21"/>
    </row>
    <row r="22" spans="1:6" ht="15.75" customHeight="1">
      <c r="A22" s="47" t="s">
        <v>321</v>
      </c>
      <c r="B22" s="42"/>
      <c r="C22" s="42"/>
      <c r="D22" s="42"/>
      <c r="E22" s="42"/>
      <c r="F22" s="42"/>
    </row>
    <row r="23" spans="1:6" ht="15" customHeight="1">
      <c r="A23" s="26" t="s">
        <v>266</v>
      </c>
      <c r="B23" s="26" t="s">
        <v>267</v>
      </c>
      <c r="C23" s="26" t="s">
        <v>268</v>
      </c>
      <c r="D23" s="26" t="s">
        <v>255</v>
      </c>
      <c r="E23" s="26" t="s">
        <v>256</v>
      </c>
      <c r="F23" s="26" t="s">
        <v>257</v>
      </c>
    </row>
    <row r="24" spans="1:6" ht="15" customHeight="1">
      <c r="A24" s="2" t="s">
        <v>322</v>
      </c>
      <c r="B24" s="21" t="s">
        <v>323</v>
      </c>
      <c r="C24" s="21" t="s">
        <v>98</v>
      </c>
      <c r="D24" s="21" t="s">
        <v>153</v>
      </c>
      <c r="E24" s="21" t="s">
        <v>261</v>
      </c>
      <c r="F24" s="21" t="s">
        <v>324</v>
      </c>
    </row>
    <row r="25" spans="1:6" ht="15" customHeight="1">
      <c r="A25" s="3" t="s">
        <v>325</v>
      </c>
      <c r="B25" s="21" t="s">
        <v>326</v>
      </c>
      <c r="C25" s="21" t="s">
        <v>327</v>
      </c>
      <c r="D25" s="21" t="s">
        <v>328</v>
      </c>
      <c r="E25" s="21" t="s">
        <v>261</v>
      </c>
      <c r="F25" s="21" t="s">
        <v>329</v>
      </c>
    </row>
    <row r="26" spans="1:6" ht="15" customHeight="1">
      <c r="A26" s="21"/>
      <c r="B26" s="21"/>
      <c r="C26" s="21"/>
      <c r="D26" s="21"/>
      <c r="E26" s="21"/>
      <c r="F26" s="21"/>
    </row>
    <row r="27" spans="1:6" ht="15.75" customHeight="1">
      <c r="A27" s="48" t="s">
        <v>330</v>
      </c>
      <c r="B27" s="42"/>
      <c r="C27" s="42"/>
      <c r="D27" s="42"/>
      <c r="E27" s="42"/>
      <c r="F27" s="42"/>
    </row>
    <row r="28" spans="1:6" ht="15" customHeight="1">
      <c r="A28" s="27" t="s">
        <v>266</v>
      </c>
      <c r="B28" s="27" t="s">
        <v>267</v>
      </c>
      <c r="C28" s="27" t="s">
        <v>268</v>
      </c>
      <c r="D28" s="27" t="s">
        <v>255</v>
      </c>
      <c r="E28" s="27" t="s">
        <v>256</v>
      </c>
      <c r="F28" s="27" t="s">
        <v>257</v>
      </c>
    </row>
    <row r="29" spans="1:6" ht="15" customHeight="1">
      <c r="A29" s="2" t="s">
        <v>331</v>
      </c>
      <c r="B29" s="21" t="s">
        <v>332</v>
      </c>
      <c r="C29" s="21" t="s">
        <v>333</v>
      </c>
      <c r="D29" s="21" t="s">
        <v>226</v>
      </c>
      <c r="E29" s="21" t="s">
        <v>261</v>
      </c>
      <c r="F29" s="21" t="s">
        <v>334</v>
      </c>
    </row>
    <row r="30" spans="1:6" ht="15" customHeight="1">
      <c r="A30" s="3" t="s">
        <v>335</v>
      </c>
      <c r="B30" s="21" t="s">
        <v>336</v>
      </c>
      <c r="C30" s="21" t="s">
        <v>337</v>
      </c>
      <c r="D30" s="21" t="s">
        <v>226</v>
      </c>
      <c r="E30" s="21" t="s">
        <v>261</v>
      </c>
      <c r="F30" s="21" t="s">
        <v>338</v>
      </c>
    </row>
    <row r="31" spans="1:6" ht="15" customHeight="1">
      <c r="A31" s="21"/>
      <c r="B31" s="21"/>
      <c r="C31" s="21"/>
      <c r="D31" s="21"/>
      <c r="E31" s="21"/>
      <c r="F31" s="21"/>
    </row>
  </sheetData>
  <mergeCells count="8">
    <mergeCell ref="A22:F22"/>
    <mergeCell ref="A27:F27"/>
    <mergeCell ref="H4:J4"/>
    <mergeCell ref="A1:F1"/>
    <mergeCell ref="A2:F2"/>
    <mergeCell ref="A4:F4"/>
    <mergeCell ref="A10:F10"/>
    <mergeCell ref="A16:F16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C408-9C16-0C3B-F3F8-CE58233BC1E8}">
  <dimension ref="A1:J39"/>
  <sheetViews>
    <sheetView rightToLeft="1" workbookViewId="0">
      <selection activeCell="A7" sqref="A7:B7"/>
    </sheetView>
  </sheetViews>
  <sheetFormatPr defaultColWidth="8.88671875" defaultRowHeight="15" customHeight="1"/>
  <cols>
    <col min="1" max="2" width="18" customWidth="1"/>
    <col min="3" max="4" width="15" customWidth="1"/>
    <col min="5" max="5" width="18" customWidth="1"/>
    <col min="6" max="6" width="15" customWidth="1"/>
    <col min="7" max="8" width="18" customWidth="1"/>
    <col min="9" max="10" width="15" customWidth="1"/>
  </cols>
  <sheetData>
    <row r="1" spans="1:10" ht="22.5" customHeight="1">
      <c r="A1" s="44" t="s">
        <v>339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15.75" customHeight="1">
      <c r="A2" s="45" t="s">
        <v>340</v>
      </c>
      <c r="B2" s="42"/>
      <c r="C2" s="42"/>
      <c r="D2" s="42"/>
      <c r="E2" s="42"/>
      <c r="F2" s="42"/>
      <c r="G2" s="42"/>
      <c r="H2" s="42"/>
      <c r="I2" s="42"/>
      <c r="J2" s="42"/>
    </row>
    <row r="4" spans="1:10" ht="18.75" customHeight="1">
      <c r="A4" s="57" t="s">
        <v>341</v>
      </c>
      <c r="B4" s="42"/>
      <c r="C4" s="42"/>
      <c r="D4" s="42"/>
      <c r="E4" s="42"/>
      <c r="F4" s="42"/>
      <c r="G4" s="42"/>
      <c r="H4" s="42"/>
      <c r="I4" s="42"/>
      <c r="J4" s="42"/>
    </row>
    <row r="6" spans="1:10" ht="15" customHeight="1">
      <c r="A6" s="58" t="s">
        <v>342</v>
      </c>
      <c r="B6" s="42"/>
      <c r="C6" s="46" t="s">
        <v>343</v>
      </c>
      <c r="D6" s="42"/>
      <c r="E6" s="61" t="s">
        <v>287</v>
      </c>
      <c r="F6" s="42"/>
      <c r="G6" s="63" t="s">
        <v>290</v>
      </c>
      <c r="H6" s="42"/>
      <c r="I6" s="65" t="s">
        <v>292</v>
      </c>
      <c r="J6" s="42"/>
    </row>
    <row r="7" spans="1:10" ht="24.75" customHeight="1">
      <c r="A7" s="59">
        <f>COUNTA('السجل الرئيسي للأصول'!A5:A1000)</f>
        <v>1</v>
      </c>
      <c r="B7" s="42"/>
      <c r="C7" s="60">
        <f>COUNTIF('السجل الرئيسي للأصول'!B5:B1000,"*أثاث*")</f>
        <v>0</v>
      </c>
      <c r="D7" s="42"/>
      <c r="E7" s="62">
        <f>COUNTIF('السجل الرئيسي للأصول'!B5:B1000,"*تقنية*")+COUNTIF('السجل الرئيسي للأصول'!B5:B1000,"*حاسوب*")+COUNTIF('السجل الرئيسي للأصول'!B5:B1000,"*طابع*")</f>
        <v>0</v>
      </c>
      <c r="F7" s="42"/>
      <c r="G7" s="64">
        <f>COUNTIF('السجل الرئيسي للأصول'!B5:B1000,"*سلامة*")+COUNTIF('السجل الرئيسي للأصول'!B5:B1000,"*طفاية*")</f>
        <v>0</v>
      </c>
      <c r="H7" s="42"/>
      <c r="I7" s="66">
        <f>COUNTIF('السجل الرئيسي للأصول'!B5:B1000,"*مطبخ*")+COUNTIF('السجل الرئيسي للأصول'!B5:B1000,"*ثلاجة*")</f>
        <v>0</v>
      </c>
      <c r="J7" s="42"/>
    </row>
    <row r="9" spans="1:10" ht="15" customHeight="1">
      <c r="A9" s="55" t="s">
        <v>344</v>
      </c>
      <c r="B9" s="42"/>
      <c r="C9" s="42"/>
      <c r="D9" s="42"/>
      <c r="E9" s="42"/>
    </row>
    <row r="11" spans="1:10" ht="15" customHeight="1">
      <c r="A11" s="29" t="s">
        <v>274</v>
      </c>
      <c r="B11" s="29" t="s">
        <v>275</v>
      </c>
      <c r="C11" s="29" t="s">
        <v>276</v>
      </c>
      <c r="D11" s="29" t="s">
        <v>345</v>
      </c>
      <c r="E11" s="29" t="s">
        <v>256</v>
      </c>
    </row>
    <row r="12" spans="1:10" ht="15" customHeight="1">
      <c r="A12" s="30" t="s">
        <v>4</v>
      </c>
      <c r="B12" s="30" t="s">
        <v>5</v>
      </c>
      <c r="C12" s="30">
        <f>COUNTIF('السجل الرئيسي للأصول'!B5:B1000,"*مكتب*")</f>
        <v>0</v>
      </c>
      <c r="D12" s="31">
        <f t="shared" ref="D12:J33" si="0">IF($A$7&gt;0,C12/$A$7,0)</f>
        <v>0</v>
      </c>
      <c r="E12" s="30" t="s">
        <v>346</v>
      </c>
    </row>
    <row r="13" spans="1:10" ht="15" customHeight="1">
      <c r="A13" s="32" t="s">
        <v>285</v>
      </c>
      <c r="B13" s="32" t="s">
        <v>286</v>
      </c>
      <c r="C13" s="32">
        <f>COUNTIF('السجل الرئيسي للأصول'!B5:B1000,"*قاعة*")+COUNTIF('السجل الرئيسي للأصول'!B5:B1000,"*طالب*")</f>
        <v>0</v>
      </c>
      <c r="D13" s="33">
        <f t="shared" si="0"/>
        <v>0</v>
      </c>
      <c r="E13" s="32" t="s">
        <v>261</v>
      </c>
    </row>
    <row r="14" spans="1:10" ht="15" customHeight="1">
      <c r="A14" s="30" t="s">
        <v>287</v>
      </c>
      <c r="B14" s="30" t="s">
        <v>288</v>
      </c>
      <c r="C14" s="30">
        <f>COUNTIF('السجل الرئيسي للأصول'!B5:B1000,"*حاسوب*")+COUNTIF('السجل الرئيسي للأصول'!B5:B1000,"*طابعة*")+COUNTIF('السجل الرئيسي للأصول'!B5:B1000,"*عرض*")</f>
        <v>1</v>
      </c>
      <c r="D14" s="31">
        <f t="shared" si="0"/>
        <v>1</v>
      </c>
      <c r="E14" s="30" t="s">
        <v>346</v>
      </c>
    </row>
    <row r="15" spans="1:10" ht="15" customHeight="1">
      <c r="A15" s="32" t="s">
        <v>290</v>
      </c>
      <c r="B15" s="32" t="s">
        <v>291</v>
      </c>
      <c r="C15" s="32">
        <f>COUNTIF('السجل الرئيسي للأصول'!B5:B1000,"*طفاية*")+COUNTIF('السجل الرئيسي للأصول'!B5:B1000,"*سلامة*")</f>
        <v>0</v>
      </c>
      <c r="D15" s="33">
        <f t="shared" si="0"/>
        <v>0</v>
      </c>
      <c r="E15" s="32" t="s">
        <v>261</v>
      </c>
    </row>
    <row r="16" spans="1:10" ht="15" customHeight="1">
      <c r="A16" s="30" t="s">
        <v>292</v>
      </c>
      <c r="B16" s="30" t="s">
        <v>110</v>
      </c>
      <c r="C16" s="30">
        <f>COUNTIF('السجل الرئيسي للأصول'!B5:B1000,"*ثلاجة*")+COUNTIF('السجل الرئيسي للأصول'!B5:B1000,"*مطبخ*")</f>
        <v>0</v>
      </c>
      <c r="D16" s="31">
        <f t="shared" si="0"/>
        <v>0</v>
      </c>
      <c r="E16" s="30" t="s">
        <v>261</v>
      </c>
    </row>
    <row r="18" spans="1:10" ht="15" customHeight="1">
      <c r="G18" s="55" t="s">
        <v>347</v>
      </c>
      <c r="H18" s="42"/>
      <c r="I18" s="42"/>
      <c r="J18" s="42"/>
    </row>
    <row r="20" spans="1:10" ht="15" customHeight="1">
      <c r="G20" s="29" t="s">
        <v>255</v>
      </c>
      <c r="H20" s="29" t="s">
        <v>348</v>
      </c>
      <c r="I20" s="29" t="s">
        <v>349</v>
      </c>
      <c r="J20" s="29" t="s">
        <v>345</v>
      </c>
    </row>
    <row r="21" spans="1:10" ht="15" customHeight="1">
      <c r="G21" s="30" t="s">
        <v>350</v>
      </c>
      <c r="H21" s="30" t="s">
        <v>351</v>
      </c>
      <c r="I21" s="30">
        <f>COUNTIF('السجل الرئيسي للأصول'!D5:D1000,"*قاعة*")+COUNTIF('السجل الرئيسي للأصول'!D5:D1000,"*Classroom*")</f>
        <v>0</v>
      </c>
      <c r="J21" s="31">
        <f t="shared" si="0"/>
        <v>0</v>
      </c>
    </row>
    <row r="22" spans="1:10" ht="15" customHeight="1">
      <c r="G22" s="32" t="s">
        <v>352</v>
      </c>
      <c r="H22" s="32" t="s">
        <v>353</v>
      </c>
      <c r="I22" s="32">
        <f>COUNTIF('السجل الرئيسي للأصول'!D5:D1000,"*الإدارة العليا*")+COUNTIF('السجل الرئيسي للأصول'!D5:D1000,"*Senior*")</f>
        <v>0</v>
      </c>
      <c r="J22" s="33">
        <f t="shared" si="0"/>
        <v>0</v>
      </c>
    </row>
    <row r="23" spans="1:10" ht="15" customHeight="1">
      <c r="G23" s="30" t="s">
        <v>226</v>
      </c>
      <c r="H23" s="30" t="s">
        <v>225</v>
      </c>
      <c r="I23" s="30">
        <f>COUNTIF('السجل الرئيسي للأصول'!D5:D1000,"*المدرسين*")+COUNTIF('السجل الرئيسي للأصول'!D5:D1000,"*Teachers*")</f>
        <v>0</v>
      </c>
      <c r="J23" s="31">
        <f t="shared" si="0"/>
        <v>0</v>
      </c>
    </row>
    <row r="24" spans="1:10" ht="15" customHeight="1">
      <c r="G24" s="32" t="s">
        <v>205</v>
      </c>
      <c r="H24" s="32" t="s">
        <v>204</v>
      </c>
      <c r="I24" s="32">
        <f>COUNTIF('السجل الرئيسي للأصول'!D5:D1000,"*الطلاب*")+COUNTIF('السجل الرئيسي للأصول'!D5:D1000,"*Student*")</f>
        <v>0</v>
      </c>
      <c r="J24" s="33">
        <f t="shared" si="0"/>
        <v>0</v>
      </c>
    </row>
    <row r="25" spans="1:10" ht="15" customHeight="1">
      <c r="G25" s="30" t="s">
        <v>213</v>
      </c>
      <c r="H25" s="30" t="s">
        <v>212</v>
      </c>
      <c r="I25" s="30">
        <f>COUNTIF('السجل الرئيسي للأصول'!D5:D1000,"*المالية*")+COUNTIF('السجل الرئيسي للأصول'!D5:D1000,"*Finance*")</f>
        <v>0</v>
      </c>
      <c r="J25" s="31">
        <f t="shared" si="0"/>
        <v>0</v>
      </c>
    </row>
    <row r="26" spans="1:10" ht="15" customHeight="1">
      <c r="G26" s="32" t="s">
        <v>354</v>
      </c>
      <c r="H26" s="32" t="s">
        <v>355</v>
      </c>
      <c r="I26" s="32">
        <f>$A$7-SUM(I21:I25)</f>
        <v>1</v>
      </c>
      <c r="J26" s="33">
        <f t="shared" si="0"/>
        <v>1</v>
      </c>
    </row>
    <row r="28" spans="1:10" ht="15" customHeight="1">
      <c r="A28" s="55" t="s">
        <v>356</v>
      </c>
      <c r="B28" s="42"/>
      <c r="C28" s="42"/>
      <c r="D28" s="42"/>
      <c r="E28" s="42"/>
    </row>
    <row r="30" spans="1:10" ht="15" customHeight="1">
      <c r="A30" s="29" t="s">
        <v>256</v>
      </c>
      <c r="B30" s="29" t="s">
        <v>357</v>
      </c>
      <c r="C30" s="29" t="s">
        <v>276</v>
      </c>
      <c r="D30" s="29" t="s">
        <v>345</v>
      </c>
      <c r="E30" s="29" t="s">
        <v>358</v>
      </c>
    </row>
    <row r="31" spans="1:10" ht="15" customHeight="1">
      <c r="A31" s="30" t="s">
        <v>279</v>
      </c>
      <c r="B31" s="30" t="s">
        <v>359</v>
      </c>
      <c r="C31" s="30">
        <f>COUNTIF('السجل الرئيسي للأصول'!E5:E1000,"ممتاز")+COUNTIF('السجل الرئيسي للأصول'!E5:E1000,"جيد جداً")</f>
        <v>0</v>
      </c>
      <c r="D31" s="31">
        <f t="shared" si="0"/>
        <v>0</v>
      </c>
      <c r="E31" s="30" t="s">
        <v>360</v>
      </c>
    </row>
    <row r="32" spans="1:10" ht="15" customHeight="1">
      <c r="A32" s="32" t="s">
        <v>261</v>
      </c>
      <c r="B32" s="32" t="s">
        <v>361</v>
      </c>
      <c r="C32" s="32">
        <f>COUNTIF('السجل الرئيسي للأصول'!E5:E1000,"جيد")</f>
        <v>1</v>
      </c>
      <c r="D32" s="33">
        <f t="shared" si="0"/>
        <v>1</v>
      </c>
      <c r="E32" s="32" t="s">
        <v>362</v>
      </c>
    </row>
    <row r="33" spans="1:10" ht="15" customHeight="1">
      <c r="A33" s="30" t="s">
        <v>302</v>
      </c>
      <c r="B33" s="30" t="s">
        <v>363</v>
      </c>
      <c r="C33" s="30">
        <f>COUNTIF('السجل الرئيسي للأصول'!E5:E1000,"متوسط")</f>
        <v>0</v>
      </c>
      <c r="D33" s="31">
        <f t="shared" si="0"/>
        <v>0</v>
      </c>
      <c r="E33" s="30" t="s">
        <v>364</v>
      </c>
    </row>
    <row r="35" spans="1:10" ht="18.75" customHeight="1">
      <c r="A35" s="56" t="s">
        <v>365</v>
      </c>
      <c r="B35" s="42"/>
      <c r="C35" s="42"/>
      <c r="D35" s="42"/>
      <c r="E35" s="42"/>
      <c r="F35" s="42"/>
      <c r="G35" s="42"/>
      <c r="H35" s="42"/>
      <c r="I35" s="42"/>
      <c r="J35" s="42"/>
    </row>
    <row r="37" spans="1:10" ht="15" customHeight="1">
      <c r="A37" s="54" t="s">
        <v>366</v>
      </c>
      <c r="B37" s="42"/>
      <c r="C37" s="34">
        <v>5</v>
      </c>
      <c r="D37" s="54" t="s">
        <v>367</v>
      </c>
      <c r="E37" s="42"/>
      <c r="F37" s="34">
        <v>19</v>
      </c>
    </row>
    <row r="38" spans="1:10" ht="15" customHeight="1">
      <c r="A38" s="54" t="s">
        <v>368</v>
      </c>
      <c r="B38" s="42"/>
      <c r="C38" s="34">
        <f>COUNTIF('السجل الرئيسي للأصول'!F5:F1000,"*ضمان*")</f>
        <v>0</v>
      </c>
      <c r="D38" s="54" t="s">
        <v>369</v>
      </c>
      <c r="E38" s="42"/>
      <c r="F38" s="34" cm="1">
        <f t="array" ref="F38">C33</f>
        <v>0</v>
      </c>
    </row>
    <row r="39" spans="1:10" ht="15" customHeight="1">
      <c r="A39" s="54" t="s">
        <v>370</v>
      </c>
      <c r="B39" s="42"/>
      <c r="C39" s="34" t="s">
        <v>371</v>
      </c>
      <c r="D39" s="54" t="s">
        <v>372</v>
      </c>
      <c r="E39" s="42"/>
      <c r="F39" s="35">
        <f>IF($A$7&gt;0,(C31+C32)/$A$7,0)</f>
        <v>1</v>
      </c>
    </row>
  </sheetData>
  <mergeCells count="23">
    <mergeCell ref="A1:J1"/>
    <mergeCell ref="A2:J2"/>
    <mergeCell ref="A4:J4"/>
    <mergeCell ref="A6:B6"/>
    <mergeCell ref="A7:B7"/>
    <mergeCell ref="C6:D6"/>
    <mergeCell ref="C7:D7"/>
    <mergeCell ref="E6:F6"/>
    <mergeCell ref="E7:F7"/>
    <mergeCell ref="G6:H6"/>
    <mergeCell ref="G7:H7"/>
    <mergeCell ref="I6:J6"/>
    <mergeCell ref="I7:J7"/>
    <mergeCell ref="G18:J18"/>
    <mergeCell ref="A28:E28"/>
    <mergeCell ref="A35:J35"/>
    <mergeCell ref="A37:B37"/>
    <mergeCell ref="D37:E37"/>
    <mergeCell ref="A38:B38"/>
    <mergeCell ref="D38:E38"/>
    <mergeCell ref="A39:B39"/>
    <mergeCell ref="D39:E39"/>
    <mergeCell ref="A9:E9"/>
  </mergeCells>
  <pageMargins left="0.7" right="0.7" top="0.75" bottom="0.75" header="0.3" footer="0.3"/>
  <pageSetup orientation="portrait"/>
  <headerFooter>
    <oddHeader>&amp;L&amp;C&amp;R</oddHeader>
    <oddFooter>&amp;L&amp;C&amp;R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6227-77EA-D5C8-39C3-36D3E6AE8EB5}">
  <dimension ref="A1:N36"/>
  <sheetViews>
    <sheetView rightToLeft="1" workbookViewId="0">
      <pane ySplit="4" topLeftCell="A8" activePane="bottomLeft" state="frozen"/>
      <selection pane="bottomLeft" sqref="A1:N1"/>
    </sheetView>
  </sheetViews>
  <sheetFormatPr defaultColWidth="8.88671875" defaultRowHeight="15" customHeight="1"/>
  <cols>
    <col min="1" max="1" width="22" customWidth="1"/>
    <col min="2" max="2" width="20" customWidth="1"/>
    <col min="3" max="3" width="14" customWidth="1"/>
    <col min="4" max="4" width="16" customWidth="1"/>
    <col min="5" max="6" width="24" customWidth="1"/>
    <col min="7" max="7" width="10" customWidth="1"/>
    <col min="8" max="9" width="12" customWidth="1"/>
    <col min="10" max="10" width="14" customWidth="1"/>
    <col min="11" max="11" width="12" customWidth="1"/>
    <col min="12" max="12" width="18" customWidth="1"/>
    <col min="13" max="14" width="20" customWidth="1"/>
  </cols>
  <sheetData>
    <row r="1" spans="1:14" ht="22.5" customHeight="1">
      <c r="A1" s="68" t="s">
        <v>373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14" ht="15.75" customHeight="1">
      <c r="A2" s="69" t="s">
        <v>374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4" spans="1:14" ht="15" customHeight="1">
      <c r="A4" s="28" t="s">
        <v>266</v>
      </c>
      <c r="B4" s="28" t="s">
        <v>375</v>
      </c>
      <c r="C4" s="28" t="s">
        <v>376</v>
      </c>
      <c r="D4" s="28" t="s">
        <v>377</v>
      </c>
      <c r="E4" s="28" t="s">
        <v>253</v>
      </c>
      <c r="F4" s="28" t="s">
        <v>378</v>
      </c>
      <c r="G4" s="28" t="s">
        <v>379</v>
      </c>
      <c r="H4" s="28" t="s">
        <v>380</v>
      </c>
      <c r="I4" s="28" t="s">
        <v>256</v>
      </c>
      <c r="J4" s="28" t="s">
        <v>357</v>
      </c>
      <c r="K4" s="28" t="s">
        <v>381</v>
      </c>
      <c r="L4" s="28" t="s">
        <v>382</v>
      </c>
      <c r="M4" s="28" t="s">
        <v>383</v>
      </c>
      <c r="N4" s="28" t="s">
        <v>384</v>
      </c>
    </row>
    <row r="5" spans="1:14" ht="15" customHeight="1">
      <c r="A5" s="2" t="s">
        <v>249</v>
      </c>
      <c r="B5" s="2" t="s">
        <v>385</v>
      </c>
      <c r="C5" s="2" t="s">
        <v>7</v>
      </c>
      <c r="D5" s="2" t="s">
        <v>8</v>
      </c>
      <c r="E5" s="2" t="s">
        <v>386</v>
      </c>
      <c r="F5" s="2" t="s">
        <v>387</v>
      </c>
      <c r="G5" s="2">
        <v>3</v>
      </c>
      <c r="H5" s="2">
        <v>3</v>
      </c>
      <c r="I5" s="36" t="s">
        <v>261</v>
      </c>
      <c r="J5" s="36" t="s">
        <v>361</v>
      </c>
      <c r="K5" s="2" t="s">
        <v>388</v>
      </c>
      <c r="L5" s="2" t="s">
        <v>388</v>
      </c>
      <c r="M5" s="2" t="s">
        <v>389</v>
      </c>
      <c r="N5" s="2" t="s">
        <v>390</v>
      </c>
    </row>
    <row r="6" spans="1:14" ht="15" customHeight="1">
      <c r="A6" s="3" t="s">
        <v>391</v>
      </c>
      <c r="B6" s="3" t="s">
        <v>392</v>
      </c>
      <c r="C6" s="3" t="s">
        <v>24</v>
      </c>
      <c r="D6" s="3" t="s">
        <v>25</v>
      </c>
      <c r="E6" s="3" t="s">
        <v>393</v>
      </c>
      <c r="F6" s="3" t="s">
        <v>394</v>
      </c>
      <c r="G6" s="3">
        <v>15</v>
      </c>
      <c r="H6" s="3">
        <v>15</v>
      </c>
      <c r="I6" s="36" t="s">
        <v>261</v>
      </c>
      <c r="J6" s="36" t="s">
        <v>361</v>
      </c>
      <c r="K6" s="3" t="s">
        <v>395</v>
      </c>
      <c r="L6" s="3" t="s">
        <v>395</v>
      </c>
      <c r="M6" s="3" t="s">
        <v>396</v>
      </c>
      <c r="N6" s="3" t="s">
        <v>397</v>
      </c>
    </row>
    <row r="7" spans="1:14" ht="15" customHeight="1">
      <c r="A7" s="2" t="s">
        <v>398</v>
      </c>
      <c r="B7" s="2" t="s">
        <v>399</v>
      </c>
      <c r="C7" s="2" t="s">
        <v>19</v>
      </c>
      <c r="D7" s="2" t="s">
        <v>20</v>
      </c>
      <c r="E7" s="2" t="s">
        <v>400</v>
      </c>
      <c r="F7" s="2" t="s">
        <v>401</v>
      </c>
      <c r="G7" s="2">
        <v>5</v>
      </c>
      <c r="H7" s="2">
        <v>5</v>
      </c>
      <c r="I7" s="37" t="s">
        <v>279</v>
      </c>
      <c r="J7" s="37" t="s">
        <v>359</v>
      </c>
      <c r="K7" s="2" t="s">
        <v>402</v>
      </c>
      <c r="L7" s="2" t="s">
        <v>402</v>
      </c>
      <c r="M7" s="2" t="s">
        <v>403</v>
      </c>
      <c r="N7" s="2" t="s">
        <v>404</v>
      </c>
    </row>
    <row r="8" spans="1:14" ht="15" customHeight="1">
      <c r="A8" s="3" t="s">
        <v>405</v>
      </c>
      <c r="B8" s="3" t="s">
        <v>406</v>
      </c>
      <c r="C8" s="3" t="s">
        <v>46</v>
      </c>
      <c r="D8" s="3" t="s">
        <v>47</v>
      </c>
      <c r="E8" s="3" t="s">
        <v>407</v>
      </c>
      <c r="F8" s="3" t="s">
        <v>408</v>
      </c>
      <c r="G8" s="3">
        <v>2</v>
      </c>
      <c r="H8" s="3">
        <v>2</v>
      </c>
      <c r="I8" s="38" t="s">
        <v>302</v>
      </c>
      <c r="J8" s="38" t="s">
        <v>363</v>
      </c>
      <c r="K8" s="3" t="s">
        <v>409</v>
      </c>
      <c r="L8" s="3" t="s">
        <v>409</v>
      </c>
      <c r="M8" s="3" t="s">
        <v>410</v>
      </c>
      <c r="N8" s="3" t="s">
        <v>411</v>
      </c>
    </row>
    <row r="9" spans="1:14" ht="15" customHeight="1">
      <c r="A9" s="2" t="s">
        <v>412</v>
      </c>
      <c r="B9" s="2" t="s">
        <v>413</v>
      </c>
      <c r="C9" s="2" t="s">
        <v>51</v>
      </c>
      <c r="D9" s="2" t="s">
        <v>52</v>
      </c>
      <c r="E9" s="2" t="s">
        <v>414</v>
      </c>
      <c r="F9" s="2" t="s">
        <v>415</v>
      </c>
      <c r="G9" s="2">
        <v>4</v>
      </c>
      <c r="H9" s="2">
        <v>4</v>
      </c>
      <c r="I9" s="36" t="s">
        <v>261</v>
      </c>
      <c r="J9" s="36" t="s">
        <v>361</v>
      </c>
      <c r="K9" s="2" t="s">
        <v>416</v>
      </c>
      <c r="L9" s="2" t="s">
        <v>416</v>
      </c>
      <c r="M9" s="2" t="s">
        <v>417</v>
      </c>
      <c r="N9" s="2" t="s">
        <v>418</v>
      </c>
    </row>
    <row r="10" spans="1:14" ht="15" customHeight="1">
      <c r="A10" s="3" t="s">
        <v>419</v>
      </c>
      <c r="B10" s="3" t="s">
        <v>420</v>
      </c>
      <c r="C10" s="3" t="s">
        <v>62</v>
      </c>
      <c r="D10" s="3" t="s">
        <v>63</v>
      </c>
      <c r="E10" s="3" t="s">
        <v>421</v>
      </c>
      <c r="F10" s="3" t="s">
        <v>422</v>
      </c>
      <c r="G10" s="3">
        <v>1</v>
      </c>
      <c r="H10" s="3">
        <v>1</v>
      </c>
      <c r="I10" s="39" t="s">
        <v>423</v>
      </c>
      <c r="J10" s="39" t="s">
        <v>424</v>
      </c>
      <c r="K10" s="3" t="s">
        <v>425</v>
      </c>
      <c r="L10" s="3" t="s">
        <v>425</v>
      </c>
      <c r="M10" s="3" t="s">
        <v>426</v>
      </c>
      <c r="N10" s="3" t="s">
        <v>427</v>
      </c>
    </row>
    <row r="11" spans="1:14" ht="15" customHeight="1">
      <c r="A11" s="2" t="s">
        <v>428</v>
      </c>
      <c r="B11" s="2" t="s">
        <v>429</v>
      </c>
      <c r="C11" s="2" t="s">
        <v>2</v>
      </c>
      <c r="D11" s="2" t="s">
        <v>3</v>
      </c>
      <c r="E11" s="2" t="s">
        <v>430</v>
      </c>
      <c r="F11" s="2" t="s">
        <v>431</v>
      </c>
      <c r="G11" s="2">
        <v>2</v>
      </c>
      <c r="H11" s="2">
        <v>2</v>
      </c>
      <c r="I11" s="36" t="s">
        <v>261</v>
      </c>
      <c r="J11" s="36" t="s">
        <v>361</v>
      </c>
      <c r="K11" s="2" t="s">
        <v>432</v>
      </c>
      <c r="L11" s="2" t="s">
        <v>432</v>
      </c>
      <c r="M11" s="2" t="s">
        <v>433</v>
      </c>
      <c r="N11" s="2" t="s">
        <v>434</v>
      </c>
    </row>
    <row r="12" spans="1:14" ht="15" customHeight="1">
      <c r="A12" s="3" t="s">
        <v>435</v>
      </c>
      <c r="B12" s="3" t="s">
        <v>436</v>
      </c>
      <c r="C12" s="3" t="s">
        <v>115</v>
      </c>
      <c r="D12" s="3" t="s">
        <v>116</v>
      </c>
      <c r="E12" s="3" t="s">
        <v>437</v>
      </c>
      <c r="F12" s="3" t="s">
        <v>438</v>
      </c>
      <c r="G12" s="3">
        <v>3</v>
      </c>
      <c r="H12" s="3">
        <v>3</v>
      </c>
      <c r="I12" s="36" t="s">
        <v>261</v>
      </c>
      <c r="J12" s="36" t="s">
        <v>361</v>
      </c>
      <c r="K12" s="3" t="s">
        <v>439</v>
      </c>
      <c r="L12" s="3" t="s">
        <v>439</v>
      </c>
      <c r="M12" s="3" t="s">
        <v>440</v>
      </c>
      <c r="N12" s="3" t="s">
        <v>441</v>
      </c>
    </row>
    <row r="13" spans="1:14" ht="15" customHeight="1">
      <c r="A13" s="2" t="s">
        <v>442</v>
      </c>
      <c r="B13" s="2" t="s">
        <v>443</v>
      </c>
      <c r="C13" s="2" t="s">
        <v>97</v>
      </c>
      <c r="D13" s="2" t="s">
        <v>98</v>
      </c>
      <c r="E13" s="2" t="s">
        <v>444</v>
      </c>
      <c r="F13" s="2" t="s">
        <v>445</v>
      </c>
      <c r="G13" s="2">
        <v>5</v>
      </c>
      <c r="H13" s="2">
        <v>5</v>
      </c>
      <c r="I13" s="40" t="s">
        <v>446</v>
      </c>
      <c r="J13" s="40" t="s">
        <v>447</v>
      </c>
      <c r="K13" s="2" t="s">
        <v>448</v>
      </c>
      <c r="L13" s="2" t="s">
        <v>448</v>
      </c>
      <c r="M13" s="2" t="s">
        <v>449</v>
      </c>
      <c r="N13" s="2" t="s">
        <v>450</v>
      </c>
    </row>
    <row r="14" spans="1:14" ht="15" customHeight="1">
      <c r="A14" s="3" t="s">
        <v>451</v>
      </c>
      <c r="B14" s="3" t="s">
        <v>452</v>
      </c>
      <c r="C14" s="3" t="s">
        <v>10</v>
      </c>
      <c r="D14" s="3" t="s">
        <v>11</v>
      </c>
      <c r="E14" s="3" t="s">
        <v>453</v>
      </c>
      <c r="F14" s="3" t="s">
        <v>454</v>
      </c>
      <c r="G14" s="3">
        <v>2</v>
      </c>
      <c r="H14" s="3">
        <v>2</v>
      </c>
      <c r="I14" s="37" t="s">
        <v>279</v>
      </c>
      <c r="J14" s="37" t="s">
        <v>359</v>
      </c>
      <c r="K14" s="3" t="s">
        <v>455</v>
      </c>
      <c r="L14" s="3" t="s">
        <v>455</v>
      </c>
      <c r="M14" s="3" t="s">
        <v>456</v>
      </c>
      <c r="N14" s="3" t="s">
        <v>457</v>
      </c>
    </row>
    <row r="15" spans="1:14" ht="15" customHeight="1">
      <c r="A15" s="2" t="s">
        <v>458</v>
      </c>
      <c r="B15" s="2" t="s">
        <v>459</v>
      </c>
      <c r="C15" s="2" t="s">
        <v>77</v>
      </c>
      <c r="D15" s="2" t="s">
        <v>78</v>
      </c>
      <c r="E15" s="2" t="s">
        <v>460</v>
      </c>
      <c r="F15" s="2" t="s">
        <v>461</v>
      </c>
      <c r="G15" s="2">
        <v>3</v>
      </c>
      <c r="H15" s="2">
        <v>3</v>
      </c>
      <c r="I15" s="38" t="s">
        <v>302</v>
      </c>
      <c r="J15" s="38" t="s">
        <v>363</v>
      </c>
      <c r="K15" s="2" t="s">
        <v>462</v>
      </c>
      <c r="L15" s="2" t="s">
        <v>462</v>
      </c>
      <c r="M15" s="2" t="s">
        <v>463</v>
      </c>
      <c r="N15" s="2" t="s">
        <v>464</v>
      </c>
    </row>
    <row r="16" spans="1:14" ht="15" customHeight="1">
      <c r="A16" s="3" t="s">
        <v>465</v>
      </c>
      <c r="B16" s="3" t="s">
        <v>466</v>
      </c>
      <c r="C16" s="3" t="s">
        <v>33</v>
      </c>
      <c r="D16" s="3" t="s">
        <v>34</v>
      </c>
      <c r="E16" s="3" t="s">
        <v>467</v>
      </c>
      <c r="F16" s="3" t="s">
        <v>468</v>
      </c>
      <c r="G16" s="3">
        <v>6</v>
      </c>
      <c r="H16" s="3">
        <v>6</v>
      </c>
      <c r="I16" s="36" t="s">
        <v>261</v>
      </c>
      <c r="J16" s="36" t="s">
        <v>361</v>
      </c>
      <c r="K16" s="3" t="s">
        <v>469</v>
      </c>
      <c r="L16" s="3" t="s">
        <v>469</v>
      </c>
      <c r="M16" s="3" t="s">
        <v>470</v>
      </c>
      <c r="N16" s="3" t="s">
        <v>390</v>
      </c>
    </row>
    <row r="17" spans="1:14" ht="15" customHeight="1">
      <c r="A17" s="2" t="s">
        <v>471</v>
      </c>
      <c r="B17" s="2" t="s">
        <v>472</v>
      </c>
      <c r="C17" s="2" t="s">
        <v>27</v>
      </c>
      <c r="D17" s="2" t="s">
        <v>28</v>
      </c>
      <c r="E17" s="2" t="s">
        <v>473</v>
      </c>
      <c r="F17" s="2" t="s">
        <v>474</v>
      </c>
      <c r="G17" s="2">
        <v>2</v>
      </c>
      <c r="H17" s="2">
        <v>2</v>
      </c>
      <c r="I17" s="36" t="s">
        <v>261</v>
      </c>
      <c r="J17" s="36" t="s">
        <v>361</v>
      </c>
      <c r="K17" s="2" t="s">
        <v>475</v>
      </c>
      <c r="L17" s="2" t="s">
        <v>475</v>
      </c>
      <c r="M17" s="2" t="s">
        <v>476</v>
      </c>
      <c r="N17" s="2" t="s">
        <v>477</v>
      </c>
    </row>
    <row r="18" spans="1:14" ht="15" customHeight="1">
      <c r="A18" s="3" t="s">
        <v>478</v>
      </c>
      <c r="B18" s="3" t="s">
        <v>479</v>
      </c>
      <c r="C18" s="3" t="s">
        <v>82</v>
      </c>
      <c r="D18" s="3" t="s">
        <v>83</v>
      </c>
      <c r="E18" s="3" t="s">
        <v>480</v>
      </c>
      <c r="F18" s="3" t="s">
        <v>481</v>
      </c>
      <c r="G18" s="3">
        <v>4</v>
      </c>
      <c r="H18" s="3">
        <v>4</v>
      </c>
      <c r="I18" s="37" t="s">
        <v>279</v>
      </c>
      <c r="J18" s="37" t="s">
        <v>359</v>
      </c>
      <c r="K18" s="3" t="s">
        <v>482</v>
      </c>
      <c r="L18" s="3" t="s">
        <v>482</v>
      </c>
      <c r="M18" s="3" t="s">
        <v>483</v>
      </c>
      <c r="N18" s="3" t="s">
        <v>484</v>
      </c>
    </row>
    <row r="19" spans="1:14" ht="15" customHeight="1">
      <c r="A19" s="2" t="s">
        <v>485</v>
      </c>
      <c r="B19" s="2" t="s">
        <v>486</v>
      </c>
      <c r="C19" s="2" t="s">
        <v>107</v>
      </c>
      <c r="D19" s="2" t="s">
        <v>108</v>
      </c>
      <c r="E19" s="2" t="s">
        <v>487</v>
      </c>
      <c r="F19" s="2" t="s">
        <v>488</v>
      </c>
      <c r="G19" s="2">
        <v>1</v>
      </c>
      <c r="H19" s="2">
        <v>1</v>
      </c>
      <c r="I19" s="36" t="s">
        <v>261</v>
      </c>
      <c r="J19" s="36" t="s">
        <v>361</v>
      </c>
      <c r="K19" s="2" t="s">
        <v>489</v>
      </c>
      <c r="L19" s="2" t="s">
        <v>489</v>
      </c>
      <c r="M19" s="2" t="s">
        <v>490</v>
      </c>
      <c r="N19" s="2" t="s">
        <v>491</v>
      </c>
    </row>
    <row r="20" spans="1:14" ht="15" customHeight="1">
      <c r="A20" s="3" t="s">
        <v>492</v>
      </c>
      <c r="B20" s="3" t="s">
        <v>493</v>
      </c>
      <c r="C20" s="3" t="s">
        <v>130</v>
      </c>
      <c r="D20" s="3" t="s">
        <v>131</v>
      </c>
      <c r="E20" s="3" t="s">
        <v>494</v>
      </c>
      <c r="F20" s="3" t="s">
        <v>495</v>
      </c>
      <c r="G20" s="3">
        <v>1</v>
      </c>
      <c r="H20" s="3">
        <v>1</v>
      </c>
      <c r="I20" s="36" t="s">
        <v>261</v>
      </c>
      <c r="J20" s="36" t="s">
        <v>361</v>
      </c>
      <c r="K20" s="3" t="s">
        <v>496</v>
      </c>
      <c r="L20" s="3" t="s">
        <v>496</v>
      </c>
      <c r="M20" s="3" t="s">
        <v>396</v>
      </c>
      <c r="N20" s="3" t="s">
        <v>497</v>
      </c>
    </row>
    <row r="22" spans="1:14" ht="15" customHeight="1">
      <c r="A22" s="70" t="s">
        <v>498</v>
      </c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</row>
    <row r="24" spans="1:14" ht="15" customHeight="1">
      <c r="A24" s="42" t="s">
        <v>499</v>
      </c>
      <c r="B24" s="42"/>
      <c r="C24">
        <v>16</v>
      </c>
      <c r="D24" s="42" t="s">
        <v>500</v>
      </c>
      <c r="E24" s="42"/>
      <c r="F24">
        <v>59</v>
      </c>
    </row>
    <row r="25" spans="1:14" ht="15" customHeight="1">
      <c r="A25" s="42" t="s">
        <v>501</v>
      </c>
      <c r="B25" s="42"/>
      <c r="C25">
        <v>4</v>
      </c>
      <c r="D25" s="42" t="s">
        <v>369</v>
      </c>
      <c r="E25" s="42"/>
      <c r="F25">
        <v>3</v>
      </c>
    </row>
    <row r="26" spans="1:14" ht="15" customHeight="1">
      <c r="A26" s="42" t="s">
        <v>502</v>
      </c>
      <c r="B26" s="42"/>
      <c r="C26">
        <v>1</v>
      </c>
      <c r="D26" s="42" t="s">
        <v>503</v>
      </c>
      <c r="E26" s="42"/>
      <c r="F26" t="s">
        <v>482</v>
      </c>
    </row>
    <row r="27" spans="1:14" ht="15" customHeight="1">
      <c r="A27" s="42" t="s">
        <v>504</v>
      </c>
      <c r="B27" s="42"/>
      <c r="C27" t="s">
        <v>505</v>
      </c>
      <c r="D27" s="42" t="s">
        <v>506</v>
      </c>
      <c r="E27" s="42"/>
      <c r="F27" t="s">
        <v>507</v>
      </c>
    </row>
    <row r="30" spans="1:14" ht="15" customHeight="1">
      <c r="A30" s="58" t="s">
        <v>508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2" spans="1:14" ht="15" customHeight="1">
      <c r="A32" s="67" t="s">
        <v>509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</row>
    <row r="33" spans="1:14" ht="15" customHeight="1">
      <c r="A33" s="67" t="s">
        <v>510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</row>
    <row r="34" spans="1:14" ht="15" customHeight="1">
      <c r="A34" s="67" t="s">
        <v>511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</row>
    <row r="35" spans="1:14" ht="15" customHeight="1">
      <c r="A35" s="67" t="s">
        <v>512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</row>
    <row r="36" spans="1:14" ht="15" customHeight="1">
      <c r="A36" s="67" t="s">
        <v>513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</row>
  </sheetData>
  <mergeCells count="17">
    <mergeCell ref="A1:N1"/>
    <mergeCell ref="A2:N2"/>
    <mergeCell ref="A22:N22"/>
    <mergeCell ref="A24:B24"/>
    <mergeCell ref="D24:E24"/>
    <mergeCell ref="A25:B25"/>
    <mergeCell ref="D25:E25"/>
    <mergeCell ref="A26:B26"/>
    <mergeCell ref="D26:E26"/>
    <mergeCell ref="A27:B27"/>
    <mergeCell ref="D27:E27"/>
    <mergeCell ref="A36:N36"/>
    <mergeCell ref="A30:N30"/>
    <mergeCell ref="A32:N32"/>
    <mergeCell ref="A33:N33"/>
    <mergeCell ref="A34:N34"/>
    <mergeCell ref="A35:N35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نظام الترقيم</vt:lpstr>
      <vt:lpstr>السجل الرئيسي للأصول</vt:lpstr>
      <vt:lpstr>تصنيف الأصول</vt:lpstr>
      <vt:lpstr>لوحة التحكم</vt:lpstr>
      <vt:lpstr>المستودع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thamer eshqi</dc:creator>
  <cp:lastModifiedBy>thamer eshqi</cp:lastModifiedBy>
  <dcterms:created xsi:type="dcterms:W3CDTF">2026-02-08T07:57:04Z</dcterms:created>
  <dcterms:modified xsi:type="dcterms:W3CDTF">2026-02-23T11:48:58Z</dcterms:modified>
</cp:coreProperties>
</file>