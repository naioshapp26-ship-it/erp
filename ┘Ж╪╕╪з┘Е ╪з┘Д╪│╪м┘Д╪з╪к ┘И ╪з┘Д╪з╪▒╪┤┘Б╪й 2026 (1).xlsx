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55" firstSheet="5" activeTab="7" autoFilterDateGrouping="1"/>
  </bookViews>
  <sheets>
    <sheet xmlns:r="http://schemas.openxmlformats.org/officeDocument/2006/relationships" name="🏠 الصفحة الرئيسية" sheetId="1" state="visible" r:id="rId1"/>
    <sheet xmlns:r="http://schemas.openxmlformats.org/officeDocument/2006/relationships" name="السجل الرئيسي" sheetId="2" state="visible" r:id="rId2"/>
    <sheet xmlns:r="http://schemas.openxmlformats.org/officeDocument/2006/relationships" name="شؤون الطلاب" sheetId="3" state="visible" r:id="rId3"/>
    <sheet xmlns:r="http://schemas.openxmlformats.org/officeDocument/2006/relationships" name="التحصيل المالي" sheetId="4" state="visible" r:id="rId4"/>
    <sheet xmlns:r="http://schemas.openxmlformats.org/officeDocument/2006/relationships" name="الشؤون المالية" sheetId="5" state="visible" r:id="rId5"/>
    <sheet xmlns:r="http://schemas.openxmlformats.org/officeDocument/2006/relationships" name="الإدارة الأكاديمية" sheetId="6" state="visible" r:id="rId6"/>
    <sheet xmlns:r="http://schemas.openxmlformats.org/officeDocument/2006/relationships" name="إدارة الجودة" sheetId="7" state="visible" r:id="rId7"/>
    <sheet xmlns:r="http://schemas.openxmlformats.org/officeDocument/2006/relationships" name="الإدارة العليا" sheetId="8" state="visible" r:id="rId8"/>
    <sheet xmlns:r="http://schemas.openxmlformats.org/officeDocument/2006/relationships" name="المرافق والصيانة" sheetId="9" state="visible" r:id="rId9"/>
    <sheet xmlns:r="http://schemas.openxmlformats.org/officeDocument/2006/relationships" name="المستندات السرية" sheetId="10" state="visible" r:id="rId10"/>
    <sheet xmlns:r="http://schemas.openxmlformats.org/officeDocument/2006/relationships" name="التقارير" sheetId="11" state="visible" r:id="rId11"/>
    <sheet xmlns:r="http://schemas.openxmlformats.org/officeDocument/2006/relationships" name="دليل الاستخدام" sheetId="12" state="visible" r:id="rId12"/>
    <sheet xmlns:r="http://schemas.openxmlformats.org/officeDocument/2006/relationships" name="تحليل النظام" sheetId="13" state="visible" r:id="rId13"/>
    <sheet xmlns:r="http://schemas.openxmlformats.org/officeDocument/2006/relationships" name="نظام الوصول الآمن" sheetId="14" state="visible" r:id="rId14"/>
    <sheet xmlns:r="http://schemas.openxmlformats.org/officeDocument/2006/relationships" name="سجل النشاطات الأمنية" sheetId="15" state="visible" r:id="rId15"/>
  </sheets>
  <definedNames>
    <definedName name="_xlnm._FilterDatabase" localSheetId="1" hidden="1">'السجل الرئيسي'!$B$6:$K$100</definedName>
  </definedNames>
  <calcPr calcId="191029" fullCalcOnLoad="1" iterate="1" iterateCount="1000" iterateDelta="0.0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m/d/yyyy"/>
    <numFmt numFmtId="166" formatCode="yyyy\-mm\-dd\ hh:mm:ss"/>
  </numFmts>
  <fonts count="57">
    <font>
      <name val="Calibri"/>
      <color theme="1"/>
      <sz val="11"/>
      <scheme val="minor"/>
    </font>
    <font>
      <name val="Calibri"/>
      <sz val="11"/>
      <scheme val="minor"/>
    </font>
    <font>
      <name val="Aptos Narrow"/>
      <b val="1"/>
      <color rgb="FFFFFFFF"/>
      <sz val="12"/>
    </font>
    <font>
      <name val="Aptos Narrow"/>
      <b val="1"/>
      <sz val="12"/>
    </font>
    <font>
      <name val="Aptos Narrow"/>
      <b val="1"/>
      <color rgb="FFFFFFFF"/>
      <sz val="11"/>
    </font>
    <font>
      <name val="Calibri"/>
      <color rgb="FF0563C1"/>
      <sz val="11"/>
      <u val="single"/>
      <scheme val="minor"/>
    </font>
    <font>
      <name val="Aptos Narrow"/>
      <sz val="11"/>
    </font>
    <font>
      <name val="Aptos Narrow"/>
      <color rgb="FF0563C1"/>
      <sz val="11"/>
      <u val="single"/>
    </font>
    <font>
      <name val="Calibri"/>
      <color rgb="FFFFFFFF"/>
      <sz val="11"/>
      <scheme val="minor"/>
    </font>
    <font>
      <name val="Calibri"/>
      <color rgb="FF000000"/>
      <sz val="11"/>
      <scheme val="minor"/>
    </font>
    <font>
      <name val="Aptos Narrow"/>
      <b val="1"/>
      <sz val="11"/>
    </font>
    <font>
      <name val="Aptos Narrow"/>
      <sz val="11"/>
      <u val="single"/>
    </font>
    <font>
      <name val="Aptos Narrow"/>
      <i val="1"/>
      <color rgb="FF808080"/>
      <sz val="9"/>
    </font>
    <font>
      <name val="Aptos Narrow"/>
      <b val="1"/>
      <color rgb="FF92400E"/>
      <sz val="16"/>
    </font>
    <font>
      <name val="Aptos Narrow"/>
      <b val="1"/>
      <color rgb="FF065F46"/>
      <sz val="16"/>
    </font>
    <font>
      <name val="Aptos Narrow"/>
      <b val="1"/>
      <sz val="14"/>
    </font>
    <font>
      <name val="Aptos Narrow"/>
      <color rgb="FFFFFFFF"/>
      <sz val="14"/>
    </font>
    <font>
      <name val="Aptos Narrow"/>
      <b val="1"/>
      <color rgb="FF1E3A8A"/>
      <sz val="16"/>
    </font>
    <font>
      <name val="Aptos Narrow"/>
      <b val="1"/>
      <color rgb="FFFFFFFF"/>
      <sz val="24"/>
    </font>
    <font>
      <name val="Aptos Narrow"/>
      <b val="1"/>
      <color rgb="FF6B21A8"/>
      <sz val="16"/>
    </font>
    <font>
      <name val="Aptos Narrow"/>
      <color rgb="FFFFFFFF"/>
      <sz val="13"/>
    </font>
    <font>
      <name val="Aptos Narrow"/>
      <b val="1"/>
      <color rgb="FFFFFFFF"/>
      <sz val="22"/>
    </font>
    <font>
      <name val="Aptos Narrow"/>
      <i val="1"/>
      <sz val="10"/>
    </font>
    <font>
      <name val="Aptos Narrow"/>
      <b val="1"/>
      <color rgb="FFFFFFFF"/>
      <sz val="20"/>
    </font>
    <font>
      <name val="Aptos Narrow"/>
      <color rgb="FFFFFFFF"/>
      <sz val="12"/>
    </font>
    <font>
      <name val="Aptos Narrow"/>
      <sz val="14"/>
    </font>
    <font>
      <name val="Aptos Narrow"/>
      <sz val="9"/>
    </font>
    <font>
      <name val="Aptos Narrow"/>
      <i val="1"/>
      <color rgb="FF92400E"/>
      <sz val="10"/>
    </font>
    <font>
      <name val="Aptos Narrow"/>
      <sz val="12"/>
    </font>
    <font>
      <name val="Aptos Narrow"/>
      <i val="1"/>
      <color rgb="FF7F1D1D"/>
      <sz val="10"/>
    </font>
    <font>
      <name val="Aptos Narrow"/>
      <i val="1"/>
      <sz val="12"/>
    </font>
    <font>
      <name val="Aptos Narrow"/>
      <color rgb="FFDC2626"/>
      <sz val="14"/>
    </font>
    <font>
      <name val="Aptos Narrow"/>
      <b val="1"/>
      <color rgb="FF7F1D1D"/>
      <sz val="16"/>
    </font>
    <font>
      <name val="Aptos Narrow"/>
      <b val="1"/>
      <color rgb="FF991B1B"/>
      <sz val="16"/>
    </font>
    <font>
      <name val="Aptos Narrow"/>
      <b val="1"/>
      <color rgb="FF1E40AF"/>
      <sz val="16"/>
    </font>
    <font>
      <name val="Aptos Narrow"/>
      <i val="1"/>
      <color rgb="FF6B7280"/>
      <sz val="9"/>
    </font>
    <font>
      <name val="Aptos Narrow"/>
      <sz val="10"/>
    </font>
    <font>
      <name val="Aptos Narrow"/>
      <b val="1"/>
      <color rgb="FF5B21B6"/>
      <sz val="16"/>
    </font>
    <font>
      <name val="Aptos Narrow"/>
      <i val="1"/>
      <sz val="11"/>
    </font>
    <font>
      <name val="Aptos Narrow"/>
      <color rgb="FFDC2626"/>
      <sz val="11"/>
    </font>
    <font>
      <name val="Arial"/>
      <b val="1"/>
      <color rgb="FFFFFFFF"/>
      <sz val="11"/>
    </font>
    <font>
      <name val="Arial"/>
      <b val="1"/>
      <color rgb="FFC00000"/>
      <sz val="10"/>
    </font>
    <font>
      <name val="Arial"/>
      <color theme="1"/>
      <sz val="10"/>
    </font>
    <font>
      <name val="Arial"/>
      <color rgb="FF0563C1"/>
      <sz val="10"/>
    </font>
    <font>
      <name val="Aptos Narrow"/>
      <b val="1"/>
      <color rgb="FFFFFFFF"/>
      <sz val="12"/>
    </font>
    <font>
      <name val="Aptos Narrow"/>
      <b val="1"/>
      <color rgb="FF856404"/>
      <sz val="11"/>
    </font>
    <font>
      <name val="Aptos Narrow"/>
      <b val="1"/>
      <color rgb="FFFFFFFF"/>
      <sz val="14"/>
    </font>
    <font>
      <name val="Aptos Narrow"/>
      <b val="1"/>
      <color theme="1"/>
      <sz val="11"/>
    </font>
    <font>
      <name val="Aptos Narrow"/>
      <color theme="1"/>
      <sz val="11"/>
    </font>
    <font>
      <name val="Aptos Narrow"/>
      <b val="1"/>
      <color rgb="FFFFFFFF"/>
      <sz val="16"/>
    </font>
    <font>
      <name val="Aptos Narrow"/>
      <b val="1"/>
      <color rgb="FFFFFFFF"/>
      <sz val="14"/>
    </font>
    <font>
      <name val="Aptos Narrow"/>
      <b val="1"/>
      <sz val="11"/>
    </font>
    <font>
      <name val="Calibri"/>
      <sz val="11"/>
      <scheme val="minor"/>
    </font>
    <font>
      <name val="Aptos Narrow"/>
      <sz val="12"/>
    </font>
    <font>
      <name val="Aptos Narrow"/>
      <b val="1"/>
      <sz val="12"/>
    </font>
    <font>
      <name val="Aptos Narrow"/>
      <b val="1"/>
      <color rgb="FFFFFFFF"/>
      <sz val="11"/>
    </font>
    <font>
      <name val="Aptos Narrow"/>
      <i val="1"/>
      <color rgb="FF666666"/>
      <sz val="10"/>
    </font>
  </fonts>
  <fills count="61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FFF0F9FF"/>
      </patternFill>
    </fill>
    <fill>
      <patternFill patternType="solid">
        <fgColor rgb="FFFFFFFF"/>
      </patternFill>
    </fill>
    <fill>
      <patternFill patternType="solid">
        <fgColor rgb="FFBFDBFE"/>
      </patternFill>
    </fill>
    <fill>
      <patternFill patternType="solid">
        <fgColor rgb="FF10B981"/>
      </patternFill>
    </fill>
    <fill>
      <patternFill patternType="solid">
        <fgColor rgb="FF3B82F6"/>
      </patternFill>
    </fill>
    <fill>
      <patternFill patternType="solid">
        <fgColor rgb="FF6B7280"/>
      </patternFill>
    </fill>
    <fill>
      <patternFill patternType="solid">
        <fgColor rgb="FFF0FDF4"/>
      </patternFill>
    </fill>
    <fill>
      <patternFill patternType="solid">
        <fgColor rgb="FFEF4444"/>
      </patternFill>
    </fill>
    <fill>
      <patternFill patternType="solid">
        <fgColor rgb="FFFFF7ED"/>
      </patternFill>
    </fill>
    <fill>
      <patternFill patternType="solid">
        <fgColor rgb="FFFAF5FF"/>
      </patternFill>
    </fill>
    <fill>
      <patternFill patternType="solid">
        <fgColor rgb="FFFFF1F2"/>
      </patternFill>
    </fill>
    <fill>
      <patternFill patternType="solid">
        <fgColor rgb="FFF8FAFC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991B1B"/>
      </patternFill>
    </fill>
    <fill>
      <patternFill patternType="solid">
        <fgColor rgb="FFF59E0B"/>
      </patternFill>
    </fill>
    <fill>
      <patternFill patternType="solid">
        <fgColor rgb="FF059669"/>
      </patternFill>
    </fill>
    <fill>
      <patternFill patternType="solid">
        <fgColor rgb="FFF0FDFA"/>
      </patternFill>
    </fill>
    <fill>
      <patternFill patternType="solid">
        <fgColor rgb="FFD1FAE5"/>
      </patternFill>
    </fill>
    <fill>
      <patternFill patternType="solid">
        <fgColor rgb="FFEFF6FF"/>
      </patternFill>
    </fill>
    <fill>
      <patternFill patternType="solid">
        <fgColor rgb="FFDBEAFE"/>
      </patternFill>
    </fill>
    <fill>
      <patternFill patternType="solid">
        <fgColor rgb="FFEAB308"/>
      </patternFill>
    </fill>
    <fill>
      <patternFill patternType="solid">
        <fgColor theme="0"/>
      </patternFill>
    </fill>
    <fill>
      <patternFill patternType="solid">
        <fgColor rgb="FFFEF08A"/>
      </patternFill>
    </fill>
    <fill>
      <patternFill patternType="solid">
        <fgColor rgb="FFFED7AA"/>
      </patternFill>
    </fill>
    <fill>
      <patternFill patternType="solid">
        <fgColor rgb="FFFDE68A"/>
      </patternFill>
    </fill>
    <fill>
      <patternFill patternType="solid">
        <fgColor rgb="FFD8B4FE"/>
      </patternFill>
    </fill>
    <fill>
      <patternFill patternType="solid">
        <fgColor rgb="FFFCA5A5"/>
      </patternFill>
    </fill>
    <fill>
      <patternFill patternType="solid">
        <fgColor rgb="FFE0E7FF"/>
      </patternFill>
    </fill>
    <fill>
      <patternFill patternType="solid">
        <fgColor rgb="FF1E3A8A"/>
      </patternFill>
    </fill>
    <fill>
      <patternFill patternType="solid">
        <fgColor rgb="FFA7F3D0"/>
      </patternFill>
    </fill>
    <fill>
      <patternFill patternType="solid">
        <fgColor rgb="FFE9D5FF"/>
      </patternFill>
    </fill>
    <fill>
      <patternFill patternType="solid">
        <fgColor rgb="FF8B5CF6"/>
      </patternFill>
    </fill>
    <fill>
      <patternFill patternType="solid">
        <fgColor rgb="FFFEF3C7"/>
      </patternFill>
    </fill>
    <fill>
      <patternFill patternType="solid">
        <fgColor rgb="FF1E40AF"/>
      </patternFill>
    </fill>
    <fill>
      <patternFill patternType="solid">
        <fgColor rgb="FF047857"/>
      </patternFill>
    </fill>
    <fill>
      <patternFill patternType="solid">
        <fgColor rgb="FFEA580C"/>
      </patternFill>
    </fill>
    <fill>
      <patternFill patternType="solid">
        <fgColor rgb="FF7C2D12"/>
      </patternFill>
    </fill>
    <fill>
      <patternFill patternType="solid">
        <fgColor rgb="FFA78BFA"/>
      </patternFill>
    </fill>
    <fill>
      <patternFill patternType="solid">
        <fgColor rgb="FF7C3AED"/>
      </patternFill>
    </fill>
    <fill>
      <patternFill patternType="solid">
        <fgColor rgb="FFFB7185"/>
      </patternFill>
    </fill>
    <fill>
      <patternFill patternType="solid">
        <fgColor rgb="FFBE123C"/>
      </patternFill>
    </fill>
    <fill>
      <patternFill patternType="solid">
        <fgColor rgb="FF475569"/>
      </patternFill>
    </fill>
    <fill>
      <patternFill patternType="solid">
        <fgColor rgb="FF1E293B"/>
      </patternFill>
    </fill>
    <fill>
      <patternFill patternType="solid">
        <fgColor rgb="FF0EA5E9"/>
      </patternFill>
    </fill>
    <fill>
      <patternFill patternType="solid">
        <fgColor rgb="FF0369A1"/>
      </patternFill>
    </fill>
    <fill>
      <patternFill patternType="solid">
        <fgColor rgb="FFDCFCE7"/>
      </patternFill>
    </fill>
    <fill>
      <patternFill patternType="solid">
        <fgColor rgb="FFFEF3C3"/>
      </patternFill>
    </fill>
    <fill>
      <patternFill patternType="solid">
        <fgColor rgb="FFFEF9C3"/>
      </patternFill>
    </fill>
    <fill>
      <patternFill patternType="solid">
        <fgColor rgb="FF1F4E78"/>
      </patternFill>
    </fill>
    <fill>
      <patternFill patternType="solid">
        <fgColor rgb="FFFFE6E6"/>
      </patternFill>
    </fill>
    <fill>
      <patternFill patternType="solid">
        <fgColor rgb="FFFF0000"/>
      </patternFill>
    </fill>
    <fill>
      <patternFill patternType="solid">
        <fgColor rgb="FFFFF3CD"/>
      </patternFill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4CAF50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medium">
        <color rgb="FF6366F1"/>
      </left>
      <right style="medium">
        <color rgb="FF6366F1"/>
      </right>
      <top style="medium">
        <color rgb="FF6366F1"/>
      </top>
      <bottom style="medium">
        <color rgb="FF6366F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medium">
        <color rgb="FF991B1B"/>
      </left>
      <right style="medium">
        <color rgb="FF991B1B"/>
      </right>
      <top style="medium">
        <color rgb="FF991B1B"/>
      </top>
      <bottom style="medium">
        <color rgb="FF991B1B"/>
      </bottom>
      <diagonal/>
    </border>
    <border>
      <left style="medium">
        <color rgb="FF065F46"/>
      </left>
      <right style="medium">
        <color rgb="FF065F46"/>
      </right>
      <top style="medium">
        <color rgb="FF065F46"/>
      </top>
      <bottom style="medium">
        <color rgb="FF065F46"/>
      </bottom>
      <diagonal/>
    </border>
    <border>
      <left style="medium">
        <color rgb="FFEF4444"/>
      </left>
      <right style="medium">
        <color rgb="FFEF4444"/>
      </right>
      <top style="medium">
        <color rgb="FFEF4444"/>
      </top>
      <bottom style="medium">
        <color rgb="FFEF444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1" applyAlignment="1">
      <alignment vertical="top"/>
    </xf>
  </cellStyleXfs>
  <cellXfs count="196">
    <xf numFmtId="0" fontId="0" fillId="0" borderId="1" applyAlignment="1" pivotButton="0" quotePrefix="0" xfId="0">
      <alignment vertical="top"/>
    </xf>
    <xf numFmtId="0" fontId="0" fillId="0" borderId="1" pivotButton="0" quotePrefix="0" xfId="0"/>
    <xf numFmtId="3" fontId="1" fillId="0" borderId="1" applyAlignment="1" pivotButton="0" quotePrefix="0" xfId="0">
      <alignment vertical="top"/>
    </xf>
    <xf numFmtId="0" fontId="2" fillId="2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right" vertical="top"/>
    </xf>
    <xf numFmtId="0" fontId="1" fillId="3" borderId="2" applyAlignment="1" pivotButton="0" quotePrefix="0" xfId="0">
      <alignment horizontal="center" vertical="top"/>
    </xf>
    <xf numFmtId="164" fontId="1" fillId="3" borderId="2" applyAlignment="1" pivotButton="0" quotePrefix="0" xfId="0">
      <alignment horizontal="center" vertical="top"/>
    </xf>
    <xf numFmtId="0" fontId="1" fillId="4" borderId="2" applyAlignment="1" pivotButton="0" quotePrefix="0" xfId="0">
      <alignment horizontal="right" vertical="top"/>
    </xf>
    <xf numFmtId="0" fontId="1" fillId="4" borderId="2" applyAlignment="1" pivotButton="0" quotePrefix="0" xfId="0">
      <alignment horizontal="center" vertical="top"/>
    </xf>
    <xf numFmtId="164" fontId="1" fillId="4" borderId="2" applyAlignment="1" pivotButton="0" quotePrefix="0" xfId="0">
      <alignment horizontal="center" vertical="top"/>
    </xf>
    <xf numFmtId="0" fontId="3" fillId="5" borderId="1" applyAlignment="1" pivotButton="0" quotePrefix="0" xfId="0">
      <alignment horizontal="right" vertical="center"/>
    </xf>
    <xf numFmtId="0" fontId="40" fillId="52" borderId="1" applyAlignment="1" pivotButton="0" quotePrefix="0" xfId="0">
      <alignment horizontal="center" vertical="center"/>
    </xf>
    <xf numFmtId="0" fontId="41" fillId="53" borderId="3" applyAlignment="1" pivotButton="0" quotePrefix="0" xfId="0">
      <alignment horizontal="right" vertical="center"/>
    </xf>
    <xf numFmtId="14" fontId="41" fillId="53" borderId="3" applyAlignment="1" pivotButton="0" quotePrefix="0" xfId="0">
      <alignment horizontal="right" vertical="center"/>
    </xf>
    <xf numFmtId="0" fontId="41" fillId="53" borderId="1" applyAlignment="1" pivotButton="0" quotePrefix="0" xfId="0">
      <alignment horizontal="right" vertical="center"/>
    </xf>
    <xf numFmtId="0" fontId="42" fillId="3" borderId="3" applyAlignment="1" pivotButton="0" quotePrefix="0" xfId="0">
      <alignment horizontal="right" vertical="center"/>
    </xf>
    <xf numFmtId="14" fontId="42" fillId="3" borderId="3" applyAlignment="1" pivotButton="0" quotePrefix="0" xfId="0">
      <alignment horizontal="right" vertical="center"/>
    </xf>
    <xf numFmtId="0" fontId="42" fillId="25" borderId="3" applyAlignment="1" pivotButton="0" quotePrefix="0" xfId="0">
      <alignment horizontal="right" vertical="center"/>
    </xf>
    <xf numFmtId="0" fontId="43" fillId="3" borderId="3" applyAlignment="1" pivotButton="0" quotePrefix="0" xfId="0">
      <alignment horizontal="right" vertical="center"/>
    </xf>
    <xf numFmtId="0" fontId="42" fillId="0" borderId="1" applyAlignment="1" pivotButton="0" quotePrefix="0" xfId="0">
      <alignment horizontal="right" vertical="center"/>
    </xf>
    <xf numFmtId="0" fontId="42" fillId="4" borderId="3" applyAlignment="1" pivotButton="0" quotePrefix="0" xfId="0">
      <alignment horizontal="right" vertical="center"/>
    </xf>
    <xf numFmtId="14" fontId="42" fillId="4" borderId="3" applyAlignment="1" pivotButton="0" quotePrefix="0" xfId="0">
      <alignment horizontal="right" vertical="center"/>
    </xf>
    <xf numFmtId="0" fontId="43" fillId="4" borderId="3" applyAlignment="1" pivotButton="0" quotePrefix="0" xfId="0">
      <alignment horizontal="right" vertical="center"/>
    </xf>
    <xf numFmtId="165" fontId="42" fillId="4" borderId="3" applyAlignment="1" pivotButton="0" quotePrefix="0" xfId="0">
      <alignment horizontal="right" vertical="center"/>
    </xf>
    <xf numFmtId="0" fontId="10" fillId="26" borderId="9" applyAlignment="1" pivotButton="0" quotePrefix="0" xfId="0">
      <alignment horizontal="center" vertical="center" wrapText="1"/>
    </xf>
    <xf numFmtId="165" fontId="41" fillId="53" borderId="1" applyAlignment="1" pivotButton="0" quotePrefix="0" xfId="0">
      <alignment horizontal="right" vertical="center"/>
    </xf>
    <xf numFmtId="165" fontId="42" fillId="0" borderId="1" applyAlignment="1" pivotButton="0" quotePrefix="0" xfId="0">
      <alignment horizontal="right" vertical="center"/>
    </xf>
    <xf numFmtId="0" fontId="4" fillId="2" borderId="4" applyAlignment="1" pivotButton="0" quotePrefix="0" xfId="0">
      <alignment horizontal="center" vertical="center"/>
    </xf>
    <xf numFmtId="0" fontId="6" fillId="25" borderId="5" applyAlignment="1" pivotButton="0" quotePrefix="0" xfId="0">
      <alignment horizontal="center" vertical="center"/>
    </xf>
    <xf numFmtId="164" fontId="6" fillId="25" borderId="5" applyAlignment="1" pivotButton="0" quotePrefix="0" xfId="0">
      <alignment horizontal="center" vertical="center"/>
    </xf>
    <xf numFmtId="0" fontId="10" fillId="25" borderId="5" applyAlignment="1" pivotButton="0" quotePrefix="0" xfId="0">
      <alignment horizontal="center" vertical="center"/>
    </xf>
    <xf numFmtId="0" fontId="7" fillId="25" borderId="5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14" fontId="6" fillId="4" borderId="5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49" fontId="6" fillId="4" borderId="5" applyAlignment="1" pivotButton="0" quotePrefix="0" xfId="0">
      <alignment horizontal="center" vertical="center"/>
    </xf>
    <xf numFmtId="164" fontId="6" fillId="4" borderId="5" applyAlignment="1" pivotButton="0" quotePrefix="0" xfId="0">
      <alignment horizontal="center" vertical="center"/>
    </xf>
    <xf numFmtId="0" fontId="6" fillId="9" borderId="5" applyAlignment="1" pivotButton="0" quotePrefix="0" xfId="0">
      <alignment horizontal="center" vertical="center"/>
    </xf>
    <xf numFmtId="0" fontId="7" fillId="9" borderId="5" applyAlignment="1" pivotButton="0" quotePrefix="0" xfId="0">
      <alignment horizontal="center" vertical="center"/>
    </xf>
    <xf numFmtId="0" fontId="4" fillId="8" borderId="5" applyAlignment="1" pivotButton="0" quotePrefix="0" xfId="0">
      <alignment horizontal="center" vertical="center"/>
    </xf>
    <xf numFmtId="0" fontId="4" fillId="10" borderId="5" applyAlignment="1" pivotButton="0" quotePrefix="0" xfId="0">
      <alignment horizontal="center" vertical="center"/>
    </xf>
    <xf numFmtId="0" fontId="6" fillId="11" borderId="5" applyAlignment="1" pivotButton="0" quotePrefix="0" xfId="0">
      <alignment horizontal="center" vertical="center"/>
    </xf>
    <xf numFmtId="0" fontId="4" fillId="6" borderId="5" applyAlignment="1" pivotButton="0" quotePrefix="0" xfId="0">
      <alignment horizontal="center" vertical="center"/>
    </xf>
    <xf numFmtId="0" fontId="4" fillId="7" borderId="5" applyAlignment="1" pivotButton="0" quotePrefix="0" xfId="0">
      <alignment horizontal="center" vertical="center"/>
    </xf>
    <xf numFmtId="0" fontId="7" fillId="11" borderId="5" applyAlignment="1" pivotButton="0" quotePrefix="0" xfId="0">
      <alignment horizontal="center" vertical="center"/>
    </xf>
    <xf numFmtId="0" fontId="11" fillId="25" borderId="5" applyAlignment="1" pivotButton="0" quotePrefix="0" xfId="0">
      <alignment horizontal="center" vertical="center"/>
    </xf>
    <xf numFmtId="0" fontId="4" fillId="25" borderId="5" applyAlignment="1" pivotButton="0" quotePrefix="0" xfId="0">
      <alignment horizontal="center" vertical="center"/>
    </xf>
    <xf numFmtId="0" fontId="6" fillId="12" borderId="5" applyAlignment="1" pivotButton="0" quotePrefix="0" xfId="0">
      <alignment horizontal="center" vertical="center"/>
    </xf>
    <xf numFmtId="0" fontId="7" fillId="12" borderId="5" applyAlignment="1" pivotButton="0" quotePrefix="0" xfId="0">
      <alignment horizontal="center" vertical="center"/>
    </xf>
    <xf numFmtId="0" fontId="6" fillId="13" borderId="5" applyAlignment="1" pivotButton="0" quotePrefix="0" xfId="0">
      <alignment horizontal="center" vertical="center"/>
    </xf>
    <xf numFmtId="0" fontId="7" fillId="13" borderId="5" applyAlignment="1" pivotButton="0" quotePrefix="0" xfId="0">
      <alignment horizontal="center" vertical="center"/>
    </xf>
    <xf numFmtId="0" fontId="6" fillId="14" borderId="5" applyAlignment="1" pivotButton="0" quotePrefix="0" xfId="0">
      <alignment horizontal="center" vertical="center"/>
    </xf>
    <xf numFmtId="0" fontId="7" fillId="14" borderId="5" applyAlignment="1" pivotButton="0" quotePrefix="0" xfId="0">
      <alignment horizontal="center" vertical="center"/>
    </xf>
    <xf numFmtId="0" fontId="2" fillId="15" borderId="3" applyAlignment="1" pivotButton="0" quotePrefix="0" xfId="0">
      <alignment horizontal="center" vertical="center"/>
    </xf>
    <xf numFmtId="0" fontId="4" fillId="15" borderId="3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1" fillId="4" borderId="3" applyAlignment="1" pivotButton="0" quotePrefix="0" xfId="0">
      <alignment horizontal="right" vertical="center"/>
    </xf>
    <xf numFmtId="0" fontId="5" fillId="4" borderId="3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16" borderId="3" applyAlignment="1" pivotButton="0" quotePrefix="0" xfId="0">
      <alignment horizontal="right" vertical="center"/>
    </xf>
    <xf numFmtId="0" fontId="5" fillId="16" borderId="3" applyAlignment="1" pivotButton="0" quotePrefix="0" xfId="0">
      <alignment horizontal="center" vertical="center"/>
    </xf>
    <xf numFmtId="0" fontId="2" fillId="17" borderId="3" applyAlignment="1" pivotButton="0" quotePrefix="0" xfId="0">
      <alignment horizontal="center" vertical="center"/>
    </xf>
    <xf numFmtId="0" fontId="2" fillId="18" borderId="3" applyAlignment="1" pivotButton="0" quotePrefix="0" xfId="0">
      <alignment horizontal="center" vertical="center"/>
    </xf>
    <xf numFmtId="0" fontId="2" fillId="19" borderId="6" applyAlignment="1" pivotButton="0" quotePrefix="0" xfId="0">
      <alignment horizontal="center" vertical="top"/>
    </xf>
    <xf numFmtId="0" fontId="1" fillId="4" borderId="6" applyAlignment="1" pivotButton="0" quotePrefix="0" xfId="0">
      <alignment horizontal="right" vertical="top"/>
    </xf>
    <xf numFmtId="3" fontId="1" fillId="4" borderId="6" applyAlignment="1" pivotButton="0" quotePrefix="0" xfId="0">
      <alignment horizontal="center" vertical="top"/>
    </xf>
    <xf numFmtId="10" fontId="1" fillId="4" borderId="6" applyAlignment="1" pivotButton="0" quotePrefix="0" xfId="0">
      <alignment horizontal="center" vertical="top"/>
    </xf>
    <xf numFmtId="0" fontId="1" fillId="4" borderId="6" applyAlignment="1" pivotButton="0" quotePrefix="0" xfId="0">
      <alignment horizontal="center" vertical="top"/>
    </xf>
    <xf numFmtId="0" fontId="1" fillId="20" borderId="6" applyAlignment="1" pivotButton="0" quotePrefix="0" xfId="0">
      <alignment horizontal="right" vertical="top"/>
    </xf>
    <xf numFmtId="3" fontId="1" fillId="20" borderId="6" applyAlignment="1" pivotButton="0" quotePrefix="0" xfId="0">
      <alignment horizontal="center" vertical="top"/>
    </xf>
    <xf numFmtId="10" fontId="1" fillId="20" borderId="6" applyAlignment="1" pivotButton="0" quotePrefix="0" xfId="0">
      <alignment horizontal="center" vertical="top"/>
    </xf>
    <xf numFmtId="0" fontId="1" fillId="20" borderId="6" applyAlignment="1" pivotButton="0" quotePrefix="0" xfId="0">
      <alignment horizontal="center" vertical="top"/>
    </xf>
    <xf numFmtId="0" fontId="3" fillId="21" borderId="6" applyAlignment="1" pivotButton="0" quotePrefix="0" xfId="0">
      <alignment horizontal="right" vertical="top"/>
    </xf>
    <xf numFmtId="0" fontId="3" fillId="21" borderId="6" applyAlignment="1" pivotButton="0" quotePrefix="0" xfId="0">
      <alignment horizontal="center" vertical="top"/>
    </xf>
    <xf numFmtId="0" fontId="2" fillId="7" borderId="6" applyAlignment="1" pivotButton="0" quotePrefix="0" xfId="0">
      <alignment horizontal="center" vertical="top"/>
    </xf>
    <xf numFmtId="0" fontId="1" fillId="22" borderId="6" applyAlignment="1" pivotButton="0" quotePrefix="0" xfId="0">
      <alignment horizontal="right" vertical="top"/>
    </xf>
    <xf numFmtId="0" fontId="1" fillId="22" borderId="6" applyAlignment="1" pivotButton="0" quotePrefix="0" xfId="0">
      <alignment horizontal="center" vertical="top"/>
    </xf>
    <xf numFmtId="0" fontId="3" fillId="23" borderId="6" applyAlignment="1" pivotButton="0" quotePrefix="0" xfId="0">
      <alignment horizontal="right" vertical="top"/>
    </xf>
    <xf numFmtId="0" fontId="3" fillId="23" borderId="6" applyAlignment="1" pivotButton="0" quotePrefix="0" xfId="0">
      <alignment horizontal="center" vertical="top"/>
    </xf>
    <xf numFmtId="0" fontId="2" fillId="15" borderId="6" applyAlignment="1" pivotButton="0" quotePrefix="0" xfId="0">
      <alignment horizontal="center" vertical="top"/>
    </xf>
    <xf numFmtId="0" fontId="1" fillId="0" borderId="6" applyAlignment="1" pivotButton="0" quotePrefix="0" xfId="0">
      <alignment horizontal="right" vertical="top"/>
    </xf>
    <xf numFmtId="0" fontId="1" fillId="0" borderId="6" applyAlignment="1" pivotButton="0" quotePrefix="0" xfId="0">
      <alignment horizontal="center" vertical="top"/>
    </xf>
    <xf numFmtId="0" fontId="3" fillId="16" borderId="6" applyAlignment="1" pivotButton="0" quotePrefix="0" xfId="0">
      <alignment horizontal="right" vertical="top"/>
    </xf>
    <xf numFmtId="0" fontId="3" fillId="16" borderId="6" applyAlignment="1" pivotButton="0" quotePrefix="0" xfId="0">
      <alignment horizontal="center" vertical="top"/>
    </xf>
    <xf numFmtId="0" fontId="1" fillId="0" borderId="6" applyAlignment="1" pivotButton="0" quotePrefix="0" xfId="0">
      <alignment vertical="top"/>
    </xf>
    <xf numFmtId="0" fontId="4" fillId="15" borderId="7" applyAlignment="1" pivotButton="0" quotePrefix="0" xfId="0">
      <alignment horizontal="center" vertical="center"/>
    </xf>
    <xf numFmtId="0" fontId="1" fillId="16" borderId="6" applyAlignment="1" pivotButton="0" quotePrefix="0" xfId="0">
      <alignment horizontal="center" vertical="top"/>
    </xf>
    <xf numFmtId="0" fontId="4" fillId="6" borderId="8" applyAlignment="1" pivotButton="0" quotePrefix="0" xfId="0">
      <alignment horizontal="center" vertical="center"/>
    </xf>
    <xf numFmtId="0" fontId="1" fillId="21" borderId="6" applyAlignment="1" pivotButton="0" quotePrefix="0" xfId="0">
      <alignment horizontal="center" vertical="top"/>
    </xf>
    <xf numFmtId="0" fontId="8" fillId="6" borderId="6" applyAlignment="1" pivotButton="0" quotePrefix="0" xfId="0">
      <alignment horizontal="center" vertical="top"/>
    </xf>
    <xf numFmtId="0" fontId="9" fillId="24" borderId="6" applyAlignment="1" pivotButton="0" quotePrefix="0" xfId="0">
      <alignment horizontal="center" vertical="top"/>
    </xf>
    <xf numFmtId="0" fontId="8" fillId="18" borderId="6" applyAlignment="1" pivotButton="0" quotePrefix="0" xfId="0">
      <alignment horizontal="center" vertical="top"/>
    </xf>
    <xf numFmtId="0" fontId="8" fillId="17" borderId="6" applyAlignment="1" pivotButton="0" quotePrefix="0" xfId="0">
      <alignment horizontal="center" vertical="top"/>
    </xf>
    <xf numFmtId="0" fontId="47" fillId="0" borderId="1" applyAlignment="1" pivotButton="0" quotePrefix="0" xfId="0">
      <alignment horizontal="right"/>
    </xf>
    <xf numFmtId="0" fontId="50" fillId="56" borderId="0" applyAlignment="1" pivotButton="0" quotePrefix="0" xfId="0">
      <alignment vertical="top"/>
    </xf>
    <xf numFmtId="0" fontId="51" fillId="57" borderId="0" applyAlignment="1" pivotButton="0" quotePrefix="0" xfId="0">
      <alignment horizontal="center" vertical="top"/>
    </xf>
    <xf numFmtId="49" fontId="52" fillId="0" borderId="0" applyAlignment="1" pivotButton="0" quotePrefix="0" xfId="0">
      <alignment vertical="top"/>
    </xf>
    <xf numFmtId="3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top"/>
    </xf>
    <xf numFmtId="0" fontId="51" fillId="58" borderId="0" applyAlignment="1" pivotButton="0" quotePrefix="0" xfId="0">
      <alignment vertical="top"/>
    </xf>
    <xf numFmtId="0" fontId="51" fillId="0" borderId="0" applyAlignment="1" pivotButton="0" quotePrefix="0" xfId="0">
      <alignment horizontal="right" vertical="top"/>
    </xf>
    <xf numFmtId="0" fontId="50" fillId="52" borderId="0" applyAlignment="1" pivotButton="0" quotePrefix="0" xfId="0">
      <alignment horizontal="center" vertical="center"/>
    </xf>
    <xf numFmtId="166" fontId="52" fillId="0" borderId="0" applyAlignment="1" pivotButton="0" quotePrefix="0" xfId="0">
      <alignment vertical="top"/>
    </xf>
    <xf numFmtId="0" fontId="18" fillId="3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3" borderId="1" applyAlignment="1" pivotButton="0" quotePrefix="0" xfId="0">
      <alignment horizontal="right" vertical="center"/>
    </xf>
    <xf numFmtId="3" fontId="19" fillId="34" borderId="1" applyAlignment="1" pivotButton="0" quotePrefix="0" xfId="0">
      <alignment horizontal="center" vertical="center"/>
    </xf>
    <xf numFmtId="0" fontId="2" fillId="35" borderId="1" applyAlignment="1" pivotButton="0" quotePrefix="0" xfId="0">
      <alignment horizontal="right" vertical="center"/>
    </xf>
    <xf numFmtId="0" fontId="15" fillId="23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right" vertical="center"/>
    </xf>
    <xf numFmtId="0" fontId="16" fillId="7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right" vertical="center"/>
    </xf>
    <xf numFmtId="0" fontId="17" fillId="31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center" vertical="center"/>
    </xf>
    <xf numFmtId="3" fontId="1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right" vertical="center"/>
    </xf>
    <xf numFmtId="3" fontId="14" fillId="21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right" vertical="center"/>
    </xf>
    <xf numFmtId="0" fontId="3" fillId="29" borderId="1" applyAlignment="1" pivotButton="0" quotePrefix="0" xfId="0">
      <alignment horizontal="right" vertical="center"/>
    </xf>
    <xf numFmtId="0" fontId="20" fillId="7" borderId="1" applyAlignment="1" pivotButton="0" quotePrefix="0" xfId="0">
      <alignment horizontal="center" vertical="center"/>
    </xf>
    <xf numFmtId="0" fontId="15" fillId="23" borderId="1" applyAlignment="1" pivotButton="0" quotePrefix="0" xfId="0">
      <alignment horizontal="center" vertical="center"/>
    </xf>
    <xf numFmtId="0" fontId="10" fillId="36" borderId="1" applyAlignment="1" pivotButton="0" quotePrefix="0" xfId="0">
      <alignment horizontal="right" vertical="center"/>
    </xf>
    <xf numFmtId="0" fontId="21" fillId="37" borderId="1" applyAlignment="1" pivotButton="0" quotePrefix="0" xfId="0">
      <alignment horizontal="center" vertical="center"/>
    </xf>
    <xf numFmtId="0" fontId="42" fillId="36" borderId="1" applyAlignment="1" pivotButton="0" quotePrefix="0" xfId="0">
      <alignment horizontal="right" vertical="center"/>
    </xf>
    <xf numFmtId="0" fontId="42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right" vertical="center"/>
    </xf>
    <xf numFmtId="0" fontId="23" fillId="37" borderId="1" applyAlignment="1" pivotButton="0" quotePrefix="0" xfId="0">
      <alignment horizontal="center" vertical="center"/>
    </xf>
    <xf numFmtId="0" fontId="22" fillId="21" borderId="1" applyAlignment="1" pivotButton="0" quotePrefix="0" xfId="0">
      <alignment horizontal="center" vertical="center" wrapText="1"/>
    </xf>
    <xf numFmtId="0" fontId="24" fillId="7" borderId="1" applyAlignment="1" pivotButton="0" quotePrefix="0" xfId="0">
      <alignment horizontal="center" vertical="center"/>
    </xf>
    <xf numFmtId="0" fontId="25" fillId="23" borderId="1" applyAlignment="1" pivotButton="0" quotePrefix="0" xfId="0">
      <alignment horizontal="center" vertical="center"/>
    </xf>
    <xf numFmtId="0" fontId="6" fillId="36" borderId="1" applyAlignment="1" pivotButton="0" quotePrefix="0" xfId="0">
      <alignment horizontal="right" vertical="center"/>
    </xf>
    <xf numFmtId="0" fontId="24" fillId="6" borderId="1" applyAlignment="1" pivotButton="0" quotePrefix="0" xfId="0">
      <alignment horizontal="center" vertical="center"/>
    </xf>
    <xf numFmtId="0" fontId="23" fillId="38" borderId="1" applyAlignment="1" pivotButton="0" quotePrefix="0" xfId="0">
      <alignment horizontal="center" vertical="center"/>
    </xf>
    <xf numFmtId="0" fontId="24" fillId="39" borderId="1" applyAlignment="1" pivotButton="0" quotePrefix="0" xfId="0">
      <alignment horizontal="center" vertical="center"/>
    </xf>
    <xf numFmtId="0" fontId="23" fillId="40" borderId="1" applyAlignment="1" pivotButton="0" quotePrefix="0" xfId="0">
      <alignment horizontal="center" vertical="center"/>
    </xf>
    <xf numFmtId="0" fontId="24" fillId="41" borderId="1" applyAlignment="1" pivotButton="0" quotePrefix="0" xfId="0">
      <alignment horizontal="center" vertical="center"/>
    </xf>
    <xf numFmtId="0" fontId="23" fillId="42" borderId="1" applyAlignment="1" pivotButton="0" quotePrefix="0" xfId="0">
      <alignment horizontal="center" vertical="center"/>
    </xf>
    <xf numFmtId="0" fontId="24" fillId="43" borderId="1" applyAlignment="1" pivotButton="0" quotePrefix="0" xfId="0">
      <alignment horizontal="center" vertical="center"/>
    </xf>
    <xf numFmtId="0" fontId="23" fillId="44" borderId="1" applyAlignment="1" pivotButton="0" quotePrefix="0" xfId="0">
      <alignment horizontal="center" vertical="center"/>
    </xf>
    <xf numFmtId="0" fontId="24" fillId="45" borderId="1" applyAlignment="1" pivotButton="0" quotePrefix="0" xfId="0">
      <alignment horizontal="center" vertical="center"/>
    </xf>
    <xf numFmtId="0" fontId="23" fillId="46" borderId="1" applyAlignment="1" pivotButton="0" quotePrefix="0" xfId="0">
      <alignment horizontal="center" vertical="center"/>
    </xf>
    <xf numFmtId="0" fontId="24" fillId="47" borderId="1" applyAlignment="1" pivotButton="0" quotePrefix="0" xfId="0">
      <alignment horizontal="center" vertical="center"/>
    </xf>
    <xf numFmtId="0" fontId="23" fillId="48" borderId="1" applyAlignment="1" pivotButton="0" quotePrefix="0" xfId="0">
      <alignment horizontal="center" vertical="center"/>
    </xf>
    <xf numFmtId="0" fontId="21" fillId="15" borderId="1" applyAlignment="1" pivotButton="0" quotePrefix="0" xfId="0">
      <alignment horizontal="center" vertical="center"/>
    </xf>
    <xf numFmtId="0" fontId="1" fillId="36" borderId="1" applyAlignment="1" pivotButton="0" quotePrefix="0" xfId="0">
      <alignment horizontal="right" vertical="center"/>
    </xf>
    <xf numFmtId="0" fontId="30" fillId="51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1" fillId="16" borderId="1" applyAlignment="1" pivotButton="0" quotePrefix="0" xfId="0">
      <alignment horizontal="center" vertical="center"/>
    </xf>
    <xf numFmtId="0" fontId="20" fillId="10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right" vertical="center"/>
    </xf>
    <xf numFmtId="0" fontId="32" fillId="16" borderId="1" applyAlignment="1" pivotButton="0" quotePrefix="0" xfId="0">
      <alignment horizontal="center" vertical="center"/>
    </xf>
    <xf numFmtId="0" fontId="26" fillId="36" borderId="1" applyAlignment="1" pivotButton="0" quotePrefix="0" xfId="0">
      <alignment horizontal="center" vertical="center"/>
    </xf>
    <xf numFmtId="0" fontId="27" fillId="36" borderId="1" applyAlignment="1" pivotButton="0" quotePrefix="0" xfId="0">
      <alignment horizontal="center" vertical="center"/>
    </xf>
    <xf numFmtId="0" fontId="28" fillId="49" borderId="1" applyAlignment="1" pivotButton="0" quotePrefix="0" xfId="0">
      <alignment horizontal="center" vertical="center"/>
    </xf>
    <xf numFmtId="0" fontId="29" fillId="16" borderId="1" applyAlignment="1" pivotButton="0" quotePrefix="0" xfId="0">
      <alignment horizontal="center" vertical="center"/>
    </xf>
    <xf numFmtId="0" fontId="28" fillId="50" borderId="1" applyAlignment="1" pivotButton="0" quotePrefix="0" xfId="0">
      <alignment horizontal="center" vertical="center"/>
    </xf>
    <xf numFmtId="0" fontId="44" fillId="54" borderId="1" applyAlignment="1" pivotButton="0" quotePrefix="0" xfId="0">
      <alignment horizontal="center" vertical="center"/>
    </xf>
    <xf numFmtId="0" fontId="45" fillId="55" borderId="1" applyAlignment="1" pivotButton="0" quotePrefix="0" xfId="0">
      <alignment horizontal="center"/>
    </xf>
    <xf numFmtId="0" fontId="22" fillId="36" borderId="1" applyAlignment="1" pivotButton="0" quotePrefix="0" xfId="0">
      <alignment horizontal="center" vertical="top"/>
    </xf>
    <xf numFmtId="0" fontId="21" fillId="19" borderId="1" applyAlignment="1" pivotButton="0" quotePrefix="0" xfId="0">
      <alignment horizontal="center" vertical="center"/>
    </xf>
    <xf numFmtId="0" fontId="33" fillId="16" borderId="1" applyAlignment="1" pivotButton="0" quotePrefix="0" xfId="0">
      <alignment horizontal="right" vertical="top"/>
    </xf>
    <xf numFmtId="0" fontId="14" fillId="21" borderId="1" applyAlignment="1" pivotButton="0" quotePrefix="0" xfId="0">
      <alignment horizontal="right" vertical="top"/>
    </xf>
    <xf numFmtId="0" fontId="1" fillId="36" borderId="1" applyAlignment="1" pivotButton="0" quotePrefix="0" xfId="0">
      <alignment horizontal="right" vertical="top"/>
    </xf>
    <xf numFmtId="0" fontId="34" fillId="23" borderId="1" applyAlignment="1" pivotButton="0" quotePrefix="0" xfId="0">
      <alignment horizontal="right" vertical="top"/>
    </xf>
    <xf numFmtId="0" fontId="20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top"/>
    </xf>
    <xf numFmtId="0" fontId="39" fillId="0" borderId="1" applyAlignment="1" pivotButton="0" quotePrefix="0" xfId="0">
      <alignment horizontal="right" vertical="top"/>
    </xf>
    <xf numFmtId="0" fontId="3" fillId="36" borderId="1" applyAlignment="1" pivotButton="0" quotePrefix="0" xfId="0">
      <alignment horizontal="right" vertical="top"/>
    </xf>
    <xf numFmtId="0" fontId="3" fillId="16" borderId="1" applyAlignment="1" pivotButton="0" quotePrefix="0" xfId="0">
      <alignment horizontal="right" vertical="top"/>
    </xf>
    <xf numFmtId="0" fontId="21" fillId="42" borderId="1" applyAlignment="1" pivotButton="0" quotePrefix="0" xfId="0">
      <alignment horizontal="center" vertical="center"/>
    </xf>
    <xf numFmtId="0" fontId="36" fillId="34" borderId="1" applyAlignment="1" pivotButton="0" quotePrefix="0" xfId="0">
      <alignment horizontal="center" vertical="top"/>
    </xf>
    <xf numFmtId="0" fontId="37" fillId="34" borderId="1" applyAlignment="1" pivotButton="0" quotePrefix="0" xfId="0">
      <alignment horizontal="right" vertical="top"/>
    </xf>
    <xf numFmtId="0" fontId="20" fillId="41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right" vertical="top"/>
    </xf>
    <xf numFmtId="0" fontId="35" fillId="0" borderId="1" applyAlignment="1" pivotButton="0" quotePrefix="0" xfId="0">
      <alignment horizontal="center" vertical="top"/>
    </xf>
    <xf numFmtId="0" fontId="46" fillId="52" borderId="1" applyAlignment="1" pivotButton="0" quotePrefix="0" xfId="0">
      <alignment horizontal="center"/>
    </xf>
    <xf numFmtId="0" fontId="48" fillId="0" borderId="1" applyAlignment="1" pivotButton="0" quotePrefix="0" xfId="0">
      <alignment horizontal="right"/>
    </xf>
    <xf numFmtId="0" fontId="49" fillId="52" borderId="0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49" fontId="52" fillId="0" borderId="0" applyAlignment="1" pivotButton="0" quotePrefix="0" xfId="0">
      <alignment vertical="top"/>
    </xf>
    <xf numFmtId="0" fontId="53" fillId="0" borderId="0" applyAlignment="1" pivotButton="0" quotePrefix="0" xfId="0">
      <alignment horizontal="right" vertical="top"/>
    </xf>
    <xf numFmtId="0" fontId="54" fillId="0" borderId="0" applyAlignment="1" pivotButton="0" quotePrefix="0" xfId="0">
      <alignment horizontal="center" vertical="top"/>
    </xf>
    <xf numFmtId="0" fontId="55" fillId="60" borderId="0" applyAlignment="1" pivotButton="0" quotePrefix="0" xfId="0">
      <alignment horizontal="center" vertical="top"/>
    </xf>
    <xf numFmtId="0" fontId="56" fillId="0" borderId="0" applyAlignment="1" pivotButton="0" quotePrefix="0" xfId="0">
      <alignment horizontal="right" vertical="top"/>
    </xf>
    <xf numFmtId="0" fontId="51" fillId="0" borderId="0" applyAlignment="1" pivotButton="0" quotePrefix="0" xfId="0">
      <alignment horizontal="center" vertical="top"/>
    </xf>
    <xf numFmtId="0" fontId="52" fillId="59" borderId="10" applyAlignment="1" pivotButton="0" quotePrefix="0" xfId="0">
      <alignment vertical="top"/>
    </xf>
    <xf numFmtId="0" fontId="0" fillId="0" borderId="0" pivotButton="0" quotePrefix="0" xfId="0"/>
    <xf numFmtId="0" fontId="49" fillId="52" borderId="1" applyAlignment="1" pivotButton="0" quotePrefix="0" xfId="0">
      <alignment horizontal="center" vertical="top"/>
    </xf>
    <xf numFmtId="49" fontId="52" fillId="0" borderId="1" applyAlignment="1" pivotButton="0" quotePrefix="0" xfId="0">
      <alignment vertical="top"/>
    </xf>
    <xf numFmtId="0" fontId="53" fillId="0" borderId="1" applyAlignment="1" pivotButton="0" quotePrefix="0" xfId="0">
      <alignment horizontal="right" vertical="top"/>
    </xf>
    <xf numFmtId="0" fontId="54" fillId="0" borderId="1" applyAlignment="1" pivotButton="0" quotePrefix="0" xfId="0">
      <alignment horizontal="center" vertical="top"/>
    </xf>
    <xf numFmtId="0" fontId="55" fillId="60" borderId="1" applyAlignment="1" pivotButton="0" quotePrefix="0" xfId="0">
      <alignment horizontal="center" vertical="top"/>
    </xf>
    <xf numFmtId="0" fontId="56" fillId="0" borderId="1" applyAlignment="1" pivotButton="0" quotePrefix="0" xfId="0">
      <alignment horizontal="right" vertical="top"/>
    </xf>
    <xf numFmtId="0" fontId="51" fillId="0" borderId="1" applyAlignment="1" pivotButton="0" quotePrefix="0" xfId="0">
      <alignment horizontal="center" vertical="top"/>
    </xf>
  </cellXfs>
  <cellStyles count="1">
    <cellStyle name="عادي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sz="1050" b="0">
                <a:solidFill>
                  <a:srgbClr val="333333"/>
                </a:solidFill>
                <a:latin typeface="Arial"/>
              </a:rPr>
              <a:t>إجمالي المستندات حسب الأقسام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التقارير!$C$8</f>
              <strCache>
                <ptCount val="1"/>
                <pt idx="0">
                  <v>إجمالي المستندات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التقارير!$B$9:$B$15</f>
              <strCache>
                <ptCount val="7"/>
                <pt idx="0">
                  <v>شؤون الطلاب</v>
                </pt>
                <pt idx="1">
                  <v>التحصيل المالي</v>
                </pt>
                <pt idx="2">
                  <v>الشؤون المالية</v>
                </pt>
                <pt idx="3">
                  <v>الإدارة الأكاديمية</v>
                </pt>
                <pt idx="4">
                  <v>إدارة الجودة</v>
                </pt>
                <pt idx="5">
                  <v>الإدارة العليا</v>
                </pt>
                <pt idx="6">
                  <v>المرافق والصيانة</v>
                </pt>
              </strCache>
            </strRef>
          </cat>
          <val>
            <numRef>
              <f>التقارير!$C$9:$C$15</f>
              <numCache>
                <formatCode>#,##0</formatCode>
                <ptCount val="7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-27"/>
        <axId val="54242201"/>
        <axId val="15587906"/>
      </barChart>
      <catAx>
        <axId val="5424220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525">
            <a:solidFill>
              <a:schemeClr val="tx1">
                <a:lumMod val="15000"/>
                <a:lumOff val="85000"/>
              </a:schemeClr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5587906"/>
        <crosses val="autoZero"/>
        <auto val="1"/>
        <lblAlgn val="ctr"/>
        <lblOffset val="0"/>
        <tickMarkSkip val="1"/>
        <noMultiLvlLbl val="1"/>
      </catAx>
      <valAx>
        <axId val="15587906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numFmt formatCode="#,##0" sourceLinked="1"/>
        <majorTickMark val="none"/>
        <minorTickMark val="none"/>
        <tickLblPos val="nextTo"/>
        <spPr>
          <a:ln xmlns:a="http://schemas.openxmlformats.org/drawingml/2006/main" w="9525">
            <a:solidFill>
              <a:schemeClr val="tx1">
                <a:lumMod val="15000"/>
                <a:lumOff val="85000"/>
              </a:schemeClr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t/>
            </a:r>
            <a:endParaRPr lang="en-US"/>
          </a:p>
        </txPr>
        <crossAx val="54242201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>
      <a:solidFill>
        <a:schemeClr val="tx1">
          <a:lumMod val="15000"/>
          <a:lumOff val="85000"/>
        </a:schemeClr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lang="ar-SA" sz="1050" b="0">
                <a:solidFill>
                  <a:srgbClr val="333333"/>
                </a:solidFill>
                <a:latin typeface="Arial"/>
              </a:rPr>
              <a:t>توزيع أنواع المستندات</a:t>
            </a:r>
            <a:endParaRPr lang="ar-SA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pieChart>
        <varyColors val="1"/>
        <ser>
          <idx val="0"/>
          <order val="0"/>
          <tx>
            <strRef>
              <f>التقارير!$C$21</f>
              <strCache>
                <ptCount val="1"/>
                <pt idx="0">
                  <v>العدد</v>
                </pt>
              </strCache>
            </strRef>
          </tx>
          <spPr>
            <a:ln xmlns:a="http://schemas.openxmlformats.org/drawingml/2006/main" w="19050">
              <a:solidFill>
                <a:srgbClr val="FFFFFF"/>
              </a:solidFill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التقارير!$B$22:$B$26</f>
              <strCache>
                <ptCount val="5"/>
                <pt idx="0">
                  <v>عقد</v>
                </pt>
                <pt idx="1">
                  <v>تعميم</v>
                </pt>
                <pt idx="2">
                  <v>محضر اجتماع</v>
                </pt>
                <pt idx="3">
                  <v>خطاب وارد</v>
                </pt>
                <pt idx="4">
                  <v>خطاب صادر</v>
                </pt>
              </strCache>
            </strRef>
          </cat>
          <val>
            <numRef>
              <f>التقارير!$C$22:$C$26</f>
              <numCache>
                <formatCode>General</formatCode>
                <ptCount val="5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>
      <a:solidFill>
        <a:schemeClr val="tx1">
          <a:lumMod val="15000"/>
          <a:lumOff val="85000"/>
        </a:schemeClr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lang="ar-SA" sz="1050" b="0">
                <a:solidFill>
                  <a:srgbClr val="333333"/>
                </a:solidFill>
                <a:latin typeface="Arial"/>
              </a:rPr>
              <a:t>مقارنة المستندات السرية والعادية حسب القسم</a:t>
            </a:r>
            <a:endParaRPr lang="ar-SA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التقارير!$B$9</f>
              <strCache>
                <ptCount val="1"/>
                <pt idx="0">
                  <v>شؤون الطلاب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التقارير!$C$8:$E$8</f>
              <strCache>
                <ptCount val="3"/>
                <pt idx="0">
                  <v>إجمالي المستندات</v>
                </pt>
                <pt idx="1">
                  <v>مستندات سرية</v>
                </pt>
                <pt idx="2">
                  <v>مستندات عادية</v>
                </pt>
              </strCache>
            </strRef>
          </cat>
          <val>
            <numRef>
              <f>التقارير!$C$9:$E$9</f>
              <numCache>
                <formatCode>#,##0</formatCode>
                <ptCount val="3"/>
              </numCache>
            </numRef>
          </val>
        </ser>
        <ser>
          <idx val="1"/>
          <order val="1"/>
          <tx>
            <strRef>
              <f>التقارير!$B$10</f>
              <strCache>
                <ptCount val="1"/>
                <pt idx="0">
                  <v>التحصيل المالي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التقارير!$C$8:$E$8</f>
              <strCache>
                <ptCount val="3"/>
                <pt idx="0">
                  <v>إجمالي المستندات</v>
                </pt>
                <pt idx="1">
                  <v>مستندات سرية</v>
                </pt>
                <pt idx="2">
                  <v>مستندات عادية</v>
                </pt>
              </strCache>
            </strRef>
          </cat>
          <val>
            <numRef>
              <f>التقارير!$C$10:$E$10</f>
              <numCache>
                <formatCode>#,##0</formatCode>
                <ptCount val="3"/>
              </numCache>
            </numRef>
          </val>
        </ser>
        <ser>
          <idx val="2"/>
          <order val="2"/>
          <tx>
            <strRef>
              <f>التقارير!$B$11</f>
              <strCache>
                <ptCount val="1"/>
                <pt idx="0">
                  <v>الشؤون المالية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التقارير!$C$8:$E$8</f>
              <strCache>
                <ptCount val="3"/>
                <pt idx="0">
                  <v>إجمالي المستندات</v>
                </pt>
                <pt idx="1">
                  <v>مستندات سرية</v>
                </pt>
                <pt idx="2">
                  <v>مستندات عادية</v>
                </pt>
              </strCache>
            </strRef>
          </cat>
          <val>
            <numRef>
              <f>التقارير!$C$11:$E$11</f>
              <numCache>
                <formatCode>#,##0</formatCode>
                <ptCount val="3"/>
              </numCache>
            </numRef>
          </val>
        </ser>
        <ser>
          <idx val="3"/>
          <order val="3"/>
          <tx>
            <strRef>
              <f>التقارير!$B$12</f>
              <strCache>
                <ptCount val="1"/>
                <pt idx="0">
                  <v>الإدارة الأكاديمية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التقارير!$C$8:$E$8</f>
              <strCache>
                <ptCount val="3"/>
                <pt idx="0">
                  <v>إجمالي المستندات</v>
                </pt>
                <pt idx="1">
                  <v>مستندات سرية</v>
                </pt>
                <pt idx="2">
                  <v>مستندات عادية</v>
                </pt>
              </strCache>
            </strRef>
          </cat>
          <val>
            <numRef>
              <f>التقارير!$C$12:$E$12</f>
              <numCache>
                <formatCode>#,##0</formatCode>
                <ptCount val="3"/>
              </numCache>
            </numRef>
          </val>
        </ser>
        <ser>
          <idx val="4"/>
          <order val="4"/>
          <tx>
            <strRef>
              <f>التقارير!$B$13</f>
              <strCache>
                <ptCount val="1"/>
                <pt idx="0">
                  <v>إدارة الجودة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التقارير!$C$8:$E$8</f>
              <strCache>
                <ptCount val="3"/>
                <pt idx="0">
                  <v>إجمالي المستندات</v>
                </pt>
                <pt idx="1">
                  <v>مستندات سرية</v>
                </pt>
                <pt idx="2">
                  <v>مستندات عادية</v>
                </pt>
              </strCache>
            </strRef>
          </cat>
          <val>
            <numRef>
              <f>التقارير!$C$13:$E$13</f>
              <numCache>
                <formatCode>#,##0</formatCode>
                <ptCount val="3"/>
              </numCache>
            </numRef>
          </val>
        </ser>
        <ser>
          <idx val="5"/>
          <order val="5"/>
          <tx>
            <strRef>
              <f>التقارير!$B$14</f>
              <strCache>
                <ptCount val="1"/>
                <pt idx="0">
                  <v>الإدارة العليا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التقارير!$C$8:$E$8</f>
              <strCache>
                <ptCount val="3"/>
                <pt idx="0">
                  <v>إجمالي المستندات</v>
                </pt>
                <pt idx="1">
                  <v>مستندات سرية</v>
                </pt>
                <pt idx="2">
                  <v>مستندات عادية</v>
                </pt>
              </strCache>
            </strRef>
          </cat>
          <val>
            <numRef>
              <f>التقارير!$C$14:$E$14</f>
              <numCache>
                <formatCode>#,##0</formatCode>
                <ptCount val="3"/>
              </numCache>
            </numRef>
          </val>
        </ser>
        <ser>
          <idx val="6"/>
          <order val="6"/>
          <tx>
            <strRef>
              <f>التقارير!$B$15</f>
              <strCache>
                <ptCount val="1"/>
                <pt idx="0">
                  <v>المرافق والصيانة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التقارير!$C$8:$E$8</f>
              <strCache>
                <ptCount val="3"/>
                <pt idx="0">
                  <v>إجمالي المستندات</v>
                </pt>
                <pt idx="1">
                  <v>مستندات سرية</v>
                </pt>
                <pt idx="2">
                  <v>مستندات عادية</v>
                </pt>
              </strCache>
            </strRef>
          </cat>
          <val>
            <numRef>
              <f>التقارير!$C$15:$E$15</f>
              <numCache>
                <formatCode>#,##0</formatCode>
                <ptCount val="3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21318689"/>
        <axId val="61671477"/>
      </barChart>
      <catAx>
        <axId val="21318689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xmlns:a="http://schemas.openxmlformats.org/drawingml/2006/main" w="9525">
            <a:solidFill>
              <a:schemeClr val="tx1">
                <a:lumMod val="15000"/>
                <a:lumOff val="85000"/>
              </a:schemeClr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t/>
            </a:r>
            <a:endParaRPr lang="en-US"/>
          </a:p>
        </txPr>
        <crossAx val="61671477"/>
        <crosses val="autoZero"/>
        <auto val="1"/>
        <lblAlgn val="ctr"/>
        <lblOffset val="0"/>
        <tickMarkSkip val="1"/>
        <noMultiLvlLbl val="1"/>
      </catAx>
      <valAx>
        <axId val="61671477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numFmt formatCode="#,##0" sourceLinked="1"/>
        <majorTickMark val="none"/>
        <minorTickMark val="none"/>
        <tickLblPos val="nextTo"/>
        <spPr>
          <a:ln xmlns:a="http://schemas.openxmlformats.org/drawingml/2006/main" w="9525">
            <a:solidFill>
              <a:schemeClr val="tx1">
                <a:lumMod val="15000"/>
                <a:lumOff val="85000"/>
              </a:schemeClr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t/>
            </a:r>
            <a:endParaRPr lang="en-US"/>
          </a:p>
        </txPr>
        <crossAx val="2131868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>
      <a:solidFill>
        <a:schemeClr val="tx1">
          <a:lumMod val="15000"/>
          <a:lumOff val="85000"/>
        </a:schemeClr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>
    <from>
      <col>10</col>
      <colOff>85725</colOff>
      <row>0</row>
      <rowOff>0</rowOff>
    </from>
    <to>
      <col>18</col>
      <colOff>314325</colOff>
      <row>14</row>
      <rowOff>47625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10</col>
      <colOff>85725</colOff>
      <row>14</row>
      <rowOff>161925</rowOff>
    </from>
    <to>
      <col>17</col>
      <colOff>523875</colOff>
      <row>31</row>
      <rowOff>85725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10</col>
      <colOff>85725</colOff>
      <row>32</row>
      <rowOff>9525</rowOff>
    </from>
    <to>
      <col>17</col>
      <colOff>523875</colOff>
      <row>54</row>
      <rowOff>38100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rightToLeft="1" workbookViewId="0">
      <selection activeCell="D19" sqref="D19:E19"/>
    </sheetView>
  </sheetViews>
  <sheetFormatPr baseColWidth="8" defaultColWidth="8.88671875" defaultRowHeight="15" customHeight="1"/>
  <cols>
    <col width="0.44140625" customWidth="1" style="106" min="1" max="1"/>
    <col width="21.44140625" customWidth="1" style="106" min="2" max="2"/>
    <col width="15.6640625" customWidth="1" style="106" min="3" max="4"/>
    <col width="14.33203125" customWidth="1" style="106" min="5" max="6"/>
    <col width="0.44140625" customWidth="1" style="106" min="7" max="7"/>
  </cols>
  <sheetData>
    <row r="1" ht="37.5" customHeight="1" s="188">
      <c r="A1" s="105" t="inlineStr">
        <is>
          <t>نظام إدارة الوثائق والسجلات المؤسسية</t>
        </is>
      </c>
    </row>
    <row r="2" ht="26.25" customHeight="1" s="188">
      <c r="A2" s="112" t="inlineStr">
        <is>
          <t>معهد التعليم المتقدم - نظام الأرشفة الإلكترونية الذكي</t>
        </is>
      </c>
    </row>
    <row r="3" ht="7.5" customHeight="1" s="188"/>
    <row r="4" ht="15" customHeight="1" s="188">
      <c r="B4" s="114" t="inlineStr">
        <is>
          <t>📊 لوحة المعلومات والإحصائيات العامة</t>
        </is>
      </c>
      <c r="I4" s="2">
        <f>D17</f>
        <v/>
      </c>
    </row>
    <row r="5" ht="7.5" customHeight="1" s="188"/>
    <row r="6" ht="15" customHeight="1" s="188">
      <c r="B6" s="3" t="inlineStr">
        <is>
          <t>القسم</t>
        </is>
      </c>
      <c r="C6" s="3" t="inlineStr">
        <is>
          <t>عدد المستندات</t>
        </is>
      </c>
      <c r="D6" s="3" t="inlineStr">
        <is>
          <t>مستندات سرية</t>
        </is>
      </c>
      <c r="E6" s="3" t="inlineStr">
        <is>
          <t>آخر تحديث</t>
        </is>
      </c>
      <c r="F6" s="3" t="inlineStr">
        <is>
          <t>الحالة</t>
        </is>
      </c>
    </row>
    <row r="7" ht="15" customHeight="1" s="188">
      <c r="B7" s="4" t="inlineStr">
        <is>
          <t>شؤون الطلاب</t>
        </is>
      </c>
      <c r="C7" s="5">
        <f>COUNTIF('شؤون الطلاب'!G7:G100,"سري")+COUNTIF('شؤون الطلاب'!G7:G100,"سري للغاية")+COUNTIF('شؤون الطلاب'!G7:G100,"مهم")</f>
        <v/>
      </c>
      <c r="D7" s="5">
        <f>COUNTA('شؤون الطلاب'!B7:B100)</f>
        <v/>
      </c>
      <c r="E7" s="6" t="inlineStr">
        <is>
          <t>2026-01-02</t>
        </is>
      </c>
      <c r="F7" s="5" t="inlineStr">
        <is>
          <t>نشط</t>
        </is>
      </c>
    </row>
    <row r="8" ht="15" customHeight="1" s="188">
      <c r="B8" s="7" t="inlineStr">
        <is>
          <t>التحصيل المالي</t>
        </is>
      </c>
      <c r="C8" s="8">
        <f>COUNTIF('التحصيل المالي'!G7:G100,"سري")+COUNTIF('التحصيل المالي'!G7:G100,"سري للغاية")+COUNTIF('التحصيل المالي'!G7:G100,"مهم")</f>
        <v/>
      </c>
      <c r="D8" s="8">
        <f>COUNTA('التحصيل المالي'!B7:B100)</f>
        <v/>
      </c>
      <c r="E8" s="9" t="inlineStr">
        <is>
          <t>2026-01-01</t>
        </is>
      </c>
      <c r="F8" s="8" t="inlineStr">
        <is>
          <t>نشط</t>
        </is>
      </c>
    </row>
    <row r="9" ht="15" customHeight="1" s="188">
      <c r="B9" s="4" t="inlineStr">
        <is>
          <t>الشؤون المالية</t>
        </is>
      </c>
      <c r="C9" s="5">
        <f>COUNTIF('الشؤون المالية'!G7:G100,"سري")+COUNTIF('الشؤون المالية'!G7:G100,"سري للغاية")+COUNTIF('الشؤون المالية'!G7:G100,"مهم")</f>
        <v/>
      </c>
      <c r="D9" s="5">
        <f>COUNTA('الشؤون المالية'!B7:B100)</f>
        <v/>
      </c>
      <c r="E9" s="6" t="inlineStr">
        <is>
          <t>2026-01-02</t>
        </is>
      </c>
      <c r="F9" s="5" t="inlineStr">
        <is>
          <t>نشط</t>
        </is>
      </c>
    </row>
    <row r="10" ht="15" customHeight="1" s="188">
      <c r="B10" s="7" t="inlineStr">
        <is>
          <t>الإدارة الأكاديمية</t>
        </is>
      </c>
      <c r="C10" s="8">
        <f>COUNTIF('الإدارة الأكاديمية'!G7:G100,"سري")+COUNTIF('الإدارة الأكاديمية'!G7:G100,"سري للغاية")+COUNTIF('الإدارة الأكاديمية'!G7:G100,"مهم")</f>
        <v/>
      </c>
      <c r="D10" s="8">
        <f>COUNTA('الإدارة الأكاديمية'!B7:B100)</f>
        <v/>
      </c>
      <c r="E10" s="9" t="inlineStr">
        <is>
          <t>2025-12-31</t>
        </is>
      </c>
      <c r="F10" s="8" t="inlineStr">
        <is>
          <t>نشط</t>
        </is>
      </c>
    </row>
    <row r="11" ht="15" customHeight="1" s="188">
      <c r="B11" s="4" t="inlineStr">
        <is>
          <t>إدارة الجودة</t>
        </is>
      </c>
      <c r="C11" s="5">
        <f>COUNTIF('إدارة الجودة'!G7:G100,"سري")+COUNTIF('إدارة الجودة'!G7:G100,"سري للغاية")+COUNTIF('إدارة الجودة'!G7:G100,"مهم")</f>
        <v/>
      </c>
      <c r="D11" s="5">
        <f>COUNTA('إدارة الجودة'!B7:B100)</f>
        <v/>
      </c>
      <c r="E11" s="6" t="inlineStr">
        <is>
          <t>2026-01-02</t>
        </is>
      </c>
      <c r="F11" s="5" t="inlineStr">
        <is>
          <t>نشط</t>
        </is>
      </c>
    </row>
    <row r="12" ht="15" customHeight="1" s="188">
      <c r="B12" s="7" t="inlineStr">
        <is>
          <t>الإدارة العليا</t>
        </is>
      </c>
      <c r="C12" s="8">
        <f>COUNTIF('الإدارة العليا'!G7:G100,"سري")+COUNTIF('الإدارة العليا'!G7:G100,"سري للغاية")+COUNTIF('الإدارة العليا'!G7:G100,"مهم")</f>
        <v/>
      </c>
      <c r="D12" s="8">
        <f>COUNTA('الإدارة العليا'!B7:B100)</f>
        <v/>
      </c>
      <c r="E12" s="9" t="inlineStr">
        <is>
          <t>2025-12-30</t>
        </is>
      </c>
      <c r="F12" s="8" t="inlineStr">
        <is>
          <t>نشط</t>
        </is>
      </c>
    </row>
    <row r="13" ht="15" customHeight="1" s="188">
      <c r="B13" s="4" t="inlineStr">
        <is>
          <t>المرافق والصيانة</t>
        </is>
      </c>
      <c r="C13" s="5">
        <f>COUNTIF('المرافق والصيانة'!G7:G100,"سري")+COUNTIF('المرافق والصيانة'!G7:G100,"سري للغاية")+COUNTIF('المرافق والصيانة'!G7:G100,"مهم")</f>
        <v/>
      </c>
      <c r="D13" s="5">
        <f>COUNTA('المرافق والصيانة'!B7:B100)</f>
        <v/>
      </c>
      <c r="E13" s="6" t="inlineStr">
        <is>
          <t>2026-01-01</t>
        </is>
      </c>
      <c r="F13" s="5" t="inlineStr">
        <is>
          <t>نشط</t>
        </is>
      </c>
    </row>
    <row r="14" ht="7.5" customHeight="1" s="188"/>
    <row r="15" ht="15" customHeight="1" s="188">
      <c r="B15" s="110" t="inlineStr">
        <is>
          <t>📈 الإحصائيات الإجمالية</t>
        </is>
      </c>
    </row>
    <row r="16" ht="3.75" customHeight="1" s="188"/>
    <row r="17" ht="15" customHeight="1" s="188">
      <c r="B17" s="111" t="inlineStr">
        <is>
          <t>إجمالي المستندات</t>
        </is>
      </c>
      <c r="D17" s="118">
        <f>SUM(D7:D13)</f>
        <v/>
      </c>
    </row>
    <row r="18" ht="15" customHeight="1" s="188">
      <c r="B18" s="119" t="inlineStr">
        <is>
          <t>إجمالي المستندات السرية</t>
        </is>
      </c>
      <c r="D18" s="116">
        <f>SUM(C7:C13)</f>
        <v/>
      </c>
    </row>
    <row r="19" ht="15" customHeight="1" s="188">
      <c r="B19" s="109" t="inlineStr">
        <is>
          <t>عدد الأقسام النشطة</t>
        </is>
      </c>
      <c r="D19" s="108">
        <f>COUNTA(B7:B13)</f>
        <v/>
      </c>
    </row>
    <row r="20" ht="11.25" customHeight="1" s="188"/>
    <row r="21" ht="15" customHeight="1" s="188">
      <c r="B21" s="110" t="inlineStr">
        <is>
          <t>🔗 روابط سريعة للأقسام</t>
        </is>
      </c>
    </row>
    <row r="22" ht="3.75" customHeight="1" s="188"/>
    <row r="23" ht="15" customHeight="1" s="188">
      <c r="B23" s="10" t="inlineStr">
        <is>
          <t>📚 شؤون الطلاب</t>
        </is>
      </c>
    </row>
    <row r="24" ht="15" customHeight="1" s="188">
      <c r="B24" s="10" t="inlineStr">
        <is>
          <t>💰 التحصيل المالي</t>
        </is>
      </c>
    </row>
    <row r="25" ht="15" customHeight="1" s="188">
      <c r="B25" s="10" t="inlineStr">
        <is>
          <t>🏦 الشؤون المالية</t>
        </is>
      </c>
    </row>
    <row r="26" ht="15" customHeight="1" s="188">
      <c r="B26" s="10" t="inlineStr">
        <is>
          <t>🎓 الإدارة الأكاديمية</t>
        </is>
      </c>
    </row>
    <row r="27" ht="15" customHeight="1" s="188">
      <c r="B27" s="10" t="inlineStr">
        <is>
          <t>⭐ إدارة الجودة</t>
        </is>
      </c>
    </row>
    <row r="28" ht="15" customHeight="1" s="188">
      <c r="B28" s="10" t="inlineStr">
        <is>
          <t>👔 الإدارة العليا</t>
        </is>
      </c>
    </row>
    <row r="29" ht="15" customHeight="1" s="188">
      <c r="B29" s="10" t="inlineStr">
        <is>
          <t>🔧 المرافق والصيانة</t>
        </is>
      </c>
    </row>
    <row r="30" ht="7.5" customHeight="1" s="188"/>
    <row r="31" ht="15" customHeight="1" s="188">
      <c r="B31" s="117" t="inlineStr">
        <is>
          <t>📋 السجل الرئيسي للمستندات</t>
        </is>
      </c>
    </row>
    <row r="32" ht="15" customHeight="1" s="188">
      <c r="B32" s="113" t="inlineStr">
        <is>
          <t>🔒 المستندات السرية</t>
        </is>
      </c>
    </row>
    <row r="33" ht="15" customHeight="1" s="188">
      <c r="B33" s="107" t="inlineStr">
        <is>
          <t>📊 التقارير والإحصائيات</t>
        </is>
      </c>
    </row>
    <row r="34" ht="15" customHeight="1" s="188">
      <c r="B34" s="120" t="inlineStr">
        <is>
          <t>📖 دليل الاستخدام</t>
        </is>
      </c>
    </row>
    <row r="35" ht="11.25" customHeight="1" s="188"/>
    <row r="36" ht="15" customHeight="1" s="188">
      <c r="B36" s="115" t="inlineStr">
        <is>
          <t>تم التحديث: 2026-01-02 | النظام مُصمم بواسطة إدارة تقنية المعلومات</t>
        </is>
      </c>
    </row>
  </sheetData>
  <mergeCells count="16">
    <mergeCell ref="B21:F21"/>
    <mergeCell ref="B4:F4"/>
    <mergeCell ref="A1:G1"/>
    <mergeCell ref="B33:C33"/>
    <mergeCell ref="D19:E19"/>
    <mergeCell ref="B19:C19"/>
    <mergeCell ref="B34:C34"/>
    <mergeCell ref="B15:F15"/>
    <mergeCell ref="B17:C17"/>
    <mergeCell ref="A2:G2"/>
    <mergeCell ref="B32:C32"/>
    <mergeCell ref="B31:C31"/>
    <mergeCell ref="D18:E18"/>
    <mergeCell ref="B36:F36"/>
    <mergeCell ref="D17:E17"/>
    <mergeCell ref="B18:C18"/>
  </mergeCells>
  <pageMargins left="0.7" right="0.7" top="0.75" bottom="0.75" header="0.3" footer="0.3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"/>
  <sheetViews>
    <sheetView rightToLeft="1" workbookViewId="0">
      <pane ySplit="6" topLeftCell="A7" activePane="bottomLeft" state="frozen"/>
      <selection pane="bottomLeft" activeCell="G15" sqref="G15"/>
    </sheetView>
  </sheetViews>
  <sheetFormatPr baseColWidth="8" defaultColWidth="8.88671875" defaultRowHeight="15" customHeight="1"/>
  <cols>
    <col width="16.33203125" customWidth="1" style="106" min="1" max="1"/>
    <col width="14" customWidth="1" style="106" min="2" max="2"/>
    <col width="14.44140625" customWidth="1" style="106" min="3" max="3"/>
    <col width="16.109375" customWidth="1" style="106" min="4" max="4"/>
    <col width="10.88671875" customWidth="1" style="106" min="5" max="5"/>
    <col width="20.6640625" customWidth="1" style="106" min="6" max="6"/>
    <col width="10.109375" customWidth="1" style="106" min="7" max="7"/>
    <col width="16.44140625" customWidth="1" style="106" min="8" max="8"/>
    <col width="17.6640625" customWidth="1" style="106" min="9" max="9"/>
    <col width="13.5546875" customWidth="1" style="106" min="10" max="10"/>
    <col width="12.33203125" customWidth="1" style="106" min="11" max="11"/>
    <col width="10.88671875" customWidth="1" style="106" min="12" max="12"/>
    <col width="13.109375" customWidth="1" style="106" min="13" max="13"/>
  </cols>
  <sheetData>
    <row r="1" ht="33.75" customHeight="1" s="188">
      <c r="A1" s="124" t="inlineStr">
        <is>
          <t>📋 السجل الرئيسي للمستندات</t>
        </is>
      </c>
    </row>
    <row r="2" ht="22.5" customHeight="1" s="188">
      <c r="A2" s="121" t="inlineStr">
        <is>
          <t>قاعدة البيانات الشاملة لجميع مستندات المعهد</t>
        </is>
      </c>
    </row>
    <row r="3" ht="7.5" customHeight="1" s="188"/>
    <row r="4" ht="15" customHeight="1" s="188">
      <c r="A4" s="123" t="inlineStr">
        <is>
          <t>🔙 العودة للصفحة الرئيسية</t>
        </is>
      </c>
      <c r="F4" s="127" t="inlineStr">
        <is>
          <t>إجمالي المستندات المسجلة:</t>
        </is>
      </c>
      <c r="I4" s="122">
        <f>COUNTA(B7:B1000)-1</f>
        <v/>
      </c>
    </row>
    <row r="5" ht="7.5" customHeight="1" s="188"/>
    <row r="6" ht="15.75" customHeight="1" s="188">
      <c r="B6" s="11" t="inlineStr">
        <is>
          <t>رقم المستند</t>
        </is>
      </c>
      <c r="C6" s="11" t="inlineStr">
        <is>
          <t>نوع المستند</t>
        </is>
      </c>
      <c r="D6" s="11" t="inlineStr">
        <is>
          <t>القسم المختص</t>
        </is>
      </c>
      <c r="E6" s="11" t="inlineStr">
        <is>
          <t>التاريخ</t>
        </is>
      </c>
      <c r="F6" s="11" t="inlineStr">
        <is>
          <t>موضوع المستند</t>
        </is>
      </c>
      <c r="G6" s="11" t="inlineStr">
        <is>
          <t>الحالة</t>
        </is>
      </c>
      <c r="H6" s="11" t="inlineStr">
        <is>
          <t>مستوى السرية</t>
        </is>
      </c>
      <c r="I6" s="11" t="inlineStr">
        <is>
          <t>الرابط الإلكتروني</t>
        </is>
      </c>
      <c r="J6" s="11" t="inlineStr">
        <is>
          <t>صادر/وارد</t>
        </is>
      </c>
      <c r="K6" s="11" t="inlineStr">
        <is>
          <t>ملاحظات</t>
        </is>
      </c>
      <c r="L6" s="11" t="inlineStr">
        <is>
          <t>مصدر المستند</t>
        </is>
      </c>
      <c r="M6" s="11" t="inlineStr">
        <is>
          <t>🔐 كلمة السر</t>
        </is>
      </c>
    </row>
    <row r="7" ht="15" customHeight="1" s="188">
      <c r="B7" s="12" t="n"/>
      <c r="C7" s="12" t="n"/>
      <c r="D7" s="12" t="n"/>
      <c r="E7" s="13" t="n"/>
      <c r="F7" s="12" t="n"/>
      <c r="G7" s="12" t="n"/>
      <c r="H7" s="12" t="n"/>
      <c r="I7" s="12" t="n"/>
      <c r="J7" s="12" t="n"/>
      <c r="K7" s="12" t="n"/>
      <c r="L7" s="14" t="n"/>
      <c r="M7" s="14">
        <f>IF(OR(H7="سري",H7="سري للغاية",H7="مهم"),CONCATENATE("SEC-",TEXT(ROW(),"000"),"-",TEXT(RANDBETWEEN(1000,9999),"0000")),"")</f>
        <v/>
      </c>
    </row>
    <row r="8" ht="15" customHeight="1" s="188">
      <c r="B8" s="15" t="n"/>
      <c r="C8" s="15" t="n"/>
      <c r="D8" s="15" t="n"/>
      <c r="E8" s="16" t="n"/>
      <c r="F8" s="15" t="n"/>
      <c r="G8" s="17" t="n"/>
      <c r="H8" s="17" t="n"/>
      <c r="I8" s="18" t="n"/>
      <c r="J8" s="15" t="n"/>
      <c r="K8" s="15" t="n"/>
      <c r="L8" s="126" t="n"/>
      <c r="M8" s="126">
        <f>IF(OR(H8="سري",H8="سري للغاية",H8="مهم"),CONCATENATE("SEC-",TEXT(ROW(),"000"),"-",TEXT(RANDBETWEEN(1000,9999),"0000")),"")</f>
        <v/>
      </c>
    </row>
    <row r="9" ht="15" customHeight="1" s="188">
      <c r="B9" s="20" t="n"/>
      <c r="C9" s="20" t="n"/>
      <c r="D9" s="20" t="n"/>
      <c r="E9" s="21" t="n"/>
      <c r="F9" s="20" t="n"/>
      <c r="G9" s="17" t="n"/>
      <c r="H9" s="17" t="n"/>
      <c r="I9" s="22" t="n"/>
      <c r="J9" s="20" t="n"/>
      <c r="K9" s="20" t="n"/>
      <c r="L9" s="126" t="n"/>
      <c r="M9" s="126">
        <f>IF(OR(H9="سري",H9="سري للغاية",H9="مهم"),CONCATENATE("SEC-",TEXT(ROW(),"000"),"-",TEXT(RANDBETWEEN(1000,9999),"0000")),"")</f>
        <v/>
      </c>
    </row>
    <row r="10" ht="15" customHeight="1" s="188">
      <c r="B10" s="15" t="n"/>
      <c r="C10" s="15" t="n"/>
      <c r="D10" s="15" t="n"/>
      <c r="E10" s="15" t="n"/>
      <c r="F10" s="15" t="n"/>
      <c r="G10" s="17" t="n"/>
      <c r="H10" s="17" t="n"/>
      <c r="I10" s="18" t="n"/>
      <c r="J10" s="15" t="n"/>
      <c r="K10" s="15" t="n"/>
      <c r="L10" s="126" t="n"/>
      <c r="M10" s="126">
        <f>IF(OR(H10="سري",H10="سري للغاية",H10="مهم"),CONCATENATE("SEC-",TEXT(ROW(),"000"),"-",TEXT(RANDBETWEEN(1000,9999),"0000")),"")</f>
        <v/>
      </c>
    </row>
    <row r="11" ht="15" customHeight="1" s="188">
      <c r="B11" s="20" t="n"/>
      <c r="C11" s="20" t="n"/>
      <c r="D11" s="20" t="n"/>
      <c r="E11" s="20" t="n"/>
      <c r="F11" s="20" t="n"/>
      <c r="G11" s="17" t="n"/>
      <c r="H11" s="17" t="n"/>
      <c r="I11" s="22" t="n"/>
      <c r="J11" s="20" t="n"/>
      <c r="K11" s="20" t="n"/>
      <c r="L11" s="126" t="n"/>
      <c r="M11" s="126">
        <f>IF(OR(H11="سري",H11="سري للغاية",H11="مهم"),CONCATENATE("SEC-",TEXT(ROW(),"000"),"-",TEXT(RANDBETWEEN(1000,9999),"0000")),"")</f>
        <v/>
      </c>
    </row>
    <row r="12" ht="15" customHeight="1" s="188">
      <c r="B12" s="15" t="n"/>
      <c r="C12" s="15" t="n"/>
      <c r="D12" s="15" t="n"/>
      <c r="E12" s="15" t="n"/>
      <c r="F12" s="15" t="n"/>
      <c r="G12" s="17" t="n"/>
      <c r="H12" s="17" t="n"/>
      <c r="I12" s="18" t="n"/>
      <c r="J12" s="15" t="n"/>
      <c r="K12" s="15" t="n"/>
      <c r="L12" s="126" t="n"/>
      <c r="M12" s="126">
        <f>IF(OR(H12="سري",H12="سري للغاية",H12="مهم"),CONCATENATE("SEC-",TEXT(ROW(),"000"),"-",TEXT(RANDBETWEEN(1000,9999),"0000")),"")</f>
        <v/>
      </c>
    </row>
    <row r="13" ht="15" customHeight="1" s="188">
      <c r="B13" s="20" t="n"/>
      <c r="C13" s="20" t="n"/>
      <c r="D13" s="20" t="n"/>
      <c r="E13" s="20" t="n"/>
      <c r="F13" s="20" t="n"/>
      <c r="G13" s="17" t="n"/>
      <c r="H13" s="17" t="n"/>
      <c r="I13" s="22" t="n"/>
      <c r="J13" s="20" t="n"/>
      <c r="K13" s="20" t="n"/>
      <c r="L13" s="126" t="n"/>
      <c r="M13" s="126">
        <f>IF(OR(H13="سري",H13="سري للغاية",H13="مهم"),CONCATENATE("SEC-",TEXT(ROW(),"000"),"-",TEXT(RANDBETWEEN(1000,9999),"0000")),"")</f>
        <v/>
      </c>
    </row>
    <row r="14" ht="15" customHeight="1" s="188">
      <c r="B14" s="15" t="n"/>
      <c r="C14" s="15" t="n"/>
      <c r="D14" s="15" t="n"/>
      <c r="E14" s="15" t="n"/>
      <c r="F14" s="15" t="n"/>
      <c r="G14" s="17" t="n"/>
      <c r="H14" s="17" t="n"/>
      <c r="I14" s="18" t="n"/>
      <c r="J14" s="15" t="n"/>
      <c r="K14" s="15" t="n"/>
      <c r="L14" s="126" t="n"/>
      <c r="M14" s="126">
        <f>IF(OR(H14="سري",H14="سري للغاية",H14="مهم"),CONCATENATE("SEC-",TEXT(ROW(),"000"),"-",TEXT(RANDBETWEEN(1000,9999),"0000")),"")</f>
        <v/>
      </c>
    </row>
    <row r="15" ht="15" customHeight="1" s="188">
      <c r="B15" s="20" t="n"/>
      <c r="C15" s="20" t="n"/>
      <c r="D15" s="20" t="n"/>
      <c r="E15" s="20" t="n"/>
      <c r="F15" s="20" t="n"/>
      <c r="G15" s="17" t="n"/>
      <c r="H15" s="17" t="n"/>
      <c r="I15" s="22" t="n"/>
      <c r="J15" s="20" t="n"/>
      <c r="K15" s="20" t="n"/>
      <c r="L15" s="126" t="n"/>
      <c r="M15" s="126">
        <f>IF(OR(H15="سري",H15="سري للغاية",H15="مهم"),CONCATENATE("SEC-",TEXT(ROW(),"000"),"-",TEXT(RANDBETWEEN(1000,9999),"0000")),"")</f>
        <v/>
      </c>
    </row>
    <row r="16" ht="15" customHeight="1" s="188">
      <c r="B16" s="15" t="n"/>
      <c r="C16" s="15" t="n"/>
      <c r="D16" s="15" t="n"/>
      <c r="E16" s="15" t="n"/>
      <c r="F16" s="15" t="n"/>
      <c r="G16" s="17" t="n"/>
      <c r="H16" s="17" t="n"/>
      <c r="I16" s="18" t="n"/>
      <c r="J16" s="15" t="n"/>
      <c r="K16" s="15" t="n"/>
      <c r="L16" s="126" t="n"/>
      <c r="M16" s="126">
        <f>IF(OR(H16="سري",H16="سري للغاية",H16="مهم"),CONCATENATE("SEC-",TEXT(ROW(),"000"),"-",TEXT(RANDBETWEEN(1000,9999),"0000")),"")</f>
        <v/>
      </c>
    </row>
    <row r="17" ht="15" customHeight="1" s="188">
      <c r="B17" s="20" t="n"/>
      <c r="C17" s="20" t="n"/>
      <c r="D17" s="20" t="n"/>
      <c r="E17" s="20" t="n"/>
      <c r="F17" s="20" t="n"/>
      <c r="G17" s="17" t="n"/>
      <c r="H17" s="17" t="n"/>
      <c r="I17" s="22" t="n"/>
      <c r="J17" s="20" t="n"/>
      <c r="K17" s="20" t="n"/>
      <c r="L17" s="126" t="n"/>
      <c r="M17" s="126">
        <f>IF(OR(H17="سري",H17="سري للغاية",H17="مهم"),CONCATENATE("SEC-",TEXT(ROW(),"000"),"-",TEXT(RANDBETWEEN(1000,9999),"0000")),"")</f>
        <v/>
      </c>
    </row>
    <row r="18" ht="15" customHeight="1" s="188">
      <c r="B18" s="15" t="n"/>
      <c r="C18" s="15" t="n"/>
      <c r="D18" s="15" t="n"/>
      <c r="E18" s="15" t="n"/>
      <c r="F18" s="15" t="n"/>
      <c r="G18" s="17" t="n"/>
      <c r="H18" s="17" t="n"/>
      <c r="I18" s="18" t="n"/>
      <c r="J18" s="15" t="n"/>
      <c r="K18" s="15" t="n"/>
      <c r="L18" s="126" t="n"/>
      <c r="M18" s="126">
        <f>IF(OR(H18="سري",H18="سري للغاية",H18="مهم"),CONCATENATE("SEC-",TEXT(ROW(),"000"),"-",TEXT(RANDBETWEEN(1000,9999),"0000")),"")</f>
        <v/>
      </c>
    </row>
    <row r="19" ht="15" customHeight="1" s="188">
      <c r="B19" s="20" t="n"/>
      <c r="C19" s="20" t="n"/>
      <c r="D19" s="20" t="n"/>
      <c r="E19" s="20" t="n"/>
      <c r="F19" s="20" t="n"/>
      <c r="G19" s="17" t="n"/>
      <c r="H19" s="17" t="n"/>
      <c r="I19" s="22" t="n"/>
      <c r="J19" s="20" t="n"/>
      <c r="K19" s="20" t="n"/>
      <c r="L19" s="126" t="n"/>
      <c r="M19" s="126">
        <f>IF(OR(H19="سري",H19="سري للغاية",H19="مهم"),CONCATENATE("SEC-",TEXT(ROW(),"000"),"-",TEXT(RANDBETWEEN(1000,9999),"0000")),"")</f>
        <v/>
      </c>
    </row>
    <row r="20" ht="15" customHeight="1" s="188">
      <c r="B20" s="15" t="n"/>
      <c r="C20" s="15" t="n"/>
      <c r="D20" s="15" t="n"/>
      <c r="E20" s="15" t="n"/>
      <c r="F20" s="15" t="n"/>
      <c r="G20" s="17" t="n"/>
      <c r="H20" s="17" t="n"/>
      <c r="I20" s="18" t="n"/>
      <c r="J20" s="15" t="n"/>
      <c r="K20" s="15" t="n"/>
      <c r="L20" s="126" t="n"/>
      <c r="M20" s="126">
        <f>IF(OR(H20="سري",H20="سري للغاية",H20="مهم"),CONCATENATE("SEC-",TEXT(ROW(),"000"),"-",TEXT(RANDBETWEEN(1000,9999),"0000")),"")</f>
        <v/>
      </c>
    </row>
    <row r="21" ht="15" customHeight="1" s="188">
      <c r="B21" s="20" t="n"/>
      <c r="C21" s="20" t="n"/>
      <c r="D21" s="20" t="n"/>
      <c r="E21" s="23" t="n"/>
      <c r="F21" s="20" t="n"/>
      <c r="G21" s="17" t="n"/>
      <c r="H21" s="17" t="n"/>
      <c r="I21" s="22" t="n"/>
      <c r="J21" s="20" t="n"/>
      <c r="K21" s="20" t="n"/>
      <c r="L21" s="126" t="n"/>
      <c r="M21" s="126">
        <f>IF(OR(H21="سري",H21="سري للغاية",H21="مهم"),CONCATENATE("SEC-",TEXT(ROW(),"000"),"-",TEXT(RANDBETWEEN(1000,9999),"0000")),"")</f>
        <v/>
      </c>
    </row>
    <row r="22" ht="15" customHeight="1" s="188">
      <c r="B22" s="15" t="n"/>
      <c r="C22" s="15" t="n"/>
      <c r="D22" s="15" t="n"/>
      <c r="E22" s="15" t="n"/>
      <c r="F22" s="15" t="n"/>
      <c r="G22" s="17" t="n"/>
      <c r="H22" s="17" t="n"/>
      <c r="I22" s="18" t="n"/>
      <c r="J22" s="15" t="n"/>
      <c r="K22" s="15" t="n"/>
      <c r="L22" s="126" t="n"/>
      <c r="M22" s="126">
        <f>IF(OR(H22="سري",H22="سري للغاية",H22="مهم"),CONCATENATE("SEC-",TEXT(ROW(),"000"),"-",TEXT(RANDBETWEEN(1000,9999),"0000")),"")</f>
        <v/>
      </c>
    </row>
    <row r="23" ht="15" customHeight="1" s="188">
      <c r="B23" s="20" t="n"/>
      <c r="C23" s="20" t="n"/>
      <c r="D23" s="20" t="n"/>
      <c r="E23" s="20" t="n"/>
      <c r="F23" s="20" t="n"/>
      <c r="G23" s="17" t="n"/>
      <c r="H23" s="17" t="n"/>
      <c r="I23" s="22" t="n"/>
      <c r="J23" s="20" t="n"/>
      <c r="K23" s="20" t="n"/>
      <c r="L23" s="126" t="n"/>
      <c r="M23" s="126">
        <f>IF(OR(H23="سري",H23="سري للغاية",H23="مهم"),CONCATENATE("SEC-",TEXT(ROW(),"000"),"-",TEXT(RANDBETWEEN(1000,9999),"0000")),"")</f>
        <v/>
      </c>
    </row>
    <row r="24" ht="15" customHeight="1" s="188">
      <c r="B24" s="15" t="n"/>
      <c r="C24" s="15" t="n"/>
      <c r="D24" s="15" t="n"/>
      <c r="E24" s="15" t="n"/>
      <c r="F24" s="15" t="n"/>
      <c r="G24" s="17" t="n"/>
      <c r="H24" s="17" t="n"/>
      <c r="I24" s="18" t="n"/>
      <c r="J24" s="15" t="n"/>
      <c r="K24" s="15" t="n"/>
      <c r="L24" s="126" t="n"/>
      <c r="M24" s="126">
        <f>IF(OR(H24="سري",H24="سري للغاية",H24="مهم"),CONCATENATE("SEC-",TEXT(ROW(),"000"),"-",TEXT(RANDBETWEEN(1000,9999),"0000")),"")</f>
        <v/>
      </c>
    </row>
    <row r="25" ht="15" customHeight="1" s="188">
      <c r="B25" s="20" t="n"/>
      <c r="C25" s="20" t="n"/>
      <c r="D25" s="20" t="n"/>
      <c r="E25" s="20" t="n"/>
      <c r="F25" s="20" t="n"/>
      <c r="G25" s="17" t="n"/>
      <c r="H25" s="17" t="n"/>
      <c r="I25" s="22" t="n"/>
      <c r="J25" s="20" t="n"/>
      <c r="K25" s="20" t="n"/>
      <c r="L25" s="126" t="n"/>
      <c r="M25" s="126">
        <f>IF(OR(H25="سري",H25="سري للغاية",H25="مهم"),CONCATENATE("SEC-",TEXT(ROW(),"000"),"-",TEXT(RANDBETWEEN(1000,9999),"0000")),"")</f>
        <v/>
      </c>
    </row>
    <row r="26" ht="15" customHeight="1" s="188">
      <c r="B26" s="15" t="n"/>
      <c r="C26" s="15" t="n"/>
      <c r="D26" s="15" t="n"/>
      <c r="E26" s="15" t="n"/>
      <c r="F26" s="15" t="n"/>
      <c r="G26" s="17" t="n"/>
      <c r="H26" s="17" t="n"/>
      <c r="I26" s="18" t="n"/>
      <c r="J26" s="15" t="n"/>
      <c r="K26" s="15" t="n"/>
      <c r="L26" s="126" t="n"/>
      <c r="M26" s="126">
        <f>IF(OR(H26="سري",H26="سري للغاية",H26="مهم"),CONCATENATE("SEC-",TEXT(ROW(),"000"),"-",TEXT(RANDBETWEEN(1000,9999),"0000")),"")</f>
        <v/>
      </c>
    </row>
    <row r="27" ht="15" customHeight="1" s="188">
      <c r="B27" s="20" t="n"/>
      <c r="C27" s="20" t="n"/>
      <c r="D27" s="20" t="n"/>
      <c r="E27" s="20" t="n"/>
      <c r="F27" s="20" t="n"/>
      <c r="G27" s="17" t="n"/>
      <c r="H27" s="17" t="n"/>
      <c r="I27" s="22" t="n"/>
      <c r="J27" s="20" t="n"/>
      <c r="K27" s="20" t="n"/>
      <c r="L27" s="126" t="n"/>
      <c r="M27" s="126">
        <f>IF(OR(H27="سري",H27="سري للغاية",H27="مهم"),CONCATENATE("SEC-",TEXT(ROW(),"000"),"-",TEXT(RANDBETWEEN(1000,9999),"0000")),"")</f>
        <v/>
      </c>
    </row>
    <row r="28" ht="15" customHeight="1" s="188">
      <c r="B28" s="15" t="n"/>
      <c r="C28" s="15" t="n"/>
      <c r="D28" s="15" t="n"/>
      <c r="E28" s="15" t="n"/>
      <c r="F28" s="15" t="n"/>
      <c r="G28" s="17" t="n"/>
      <c r="H28" s="17" t="n"/>
      <c r="I28" s="18" t="n"/>
      <c r="J28" s="15" t="n"/>
      <c r="K28" s="15" t="n"/>
      <c r="L28" s="126" t="n"/>
      <c r="M28" s="126">
        <f>IF(OR(H28="سري",H28="سري للغاية",H28="مهم"),CONCATENATE("SEC-",TEXT(ROW(),"000"),"-",TEXT(RANDBETWEEN(1000,9999),"0000")),"")</f>
        <v/>
      </c>
    </row>
    <row r="29" ht="15" customHeight="1" s="188">
      <c r="B29" s="20" t="n"/>
      <c r="C29" s="20" t="n"/>
      <c r="D29" s="20" t="n"/>
      <c r="E29" s="20" t="n"/>
      <c r="F29" s="20" t="n"/>
      <c r="G29" s="17" t="n"/>
      <c r="H29" s="17" t="n"/>
      <c r="I29" s="22" t="n"/>
      <c r="J29" s="20" t="n"/>
      <c r="K29" s="20" t="n"/>
      <c r="L29" s="126" t="n"/>
      <c r="M29" s="126">
        <f>IF(OR(H29="سري",H29="سري للغاية",H29="مهم"),CONCATENATE("SEC-",TEXT(ROW(),"000"),"-",TEXT(RANDBETWEEN(1000,9999),"0000")),"")</f>
        <v/>
      </c>
    </row>
    <row r="30" ht="15" customHeight="1" s="188">
      <c r="B30" s="15" t="n"/>
      <c r="C30" s="15" t="n"/>
      <c r="D30" s="15" t="n"/>
      <c r="E30" s="15" t="n"/>
      <c r="F30" s="15" t="n"/>
      <c r="G30" s="17" t="n"/>
      <c r="H30" s="17" t="n"/>
      <c r="I30" s="18" t="n"/>
      <c r="J30" s="15" t="n"/>
      <c r="K30" s="15" t="n"/>
      <c r="L30" s="126" t="n"/>
      <c r="M30" s="126">
        <f>IF(OR(H30="سري",H30="سري للغاية",H30="مهم"),CONCATENATE("SEC-",TEXT(ROW(),"000"),"-",TEXT(RANDBETWEEN(1000,9999),"0000")),"")</f>
        <v/>
      </c>
    </row>
    <row r="31" ht="15" customHeight="1" s="188">
      <c r="B31" s="20" t="n"/>
      <c r="C31" s="20" t="n"/>
      <c r="D31" s="20" t="n"/>
      <c r="E31" s="20" t="n"/>
      <c r="F31" s="20" t="n"/>
      <c r="G31" s="17" t="n"/>
      <c r="H31" s="17" t="n"/>
      <c r="I31" s="22" t="n"/>
      <c r="J31" s="20" t="n"/>
      <c r="K31" s="20" t="n"/>
      <c r="L31" s="126" t="n"/>
      <c r="M31" s="126">
        <f>IF(OR(H31="سري",H31="سري للغاية",H31="مهم"),CONCATENATE("SEC-",TEXT(ROW(),"000"),"-",TEXT(RANDBETWEEN(1000,9999),"0000")),"")</f>
        <v/>
      </c>
    </row>
    <row r="32" ht="15" customHeight="1" s="188">
      <c r="B32" s="15" t="n"/>
      <c r="C32" s="15" t="n"/>
      <c r="D32" s="15" t="n"/>
      <c r="E32" s="15" t="n"/>
      <c r="F32" s="15" t="n"/>
      <c r="G32" s="17" t="n"/>
      <c r="H32" s="17" t="n"/>
      <c r="I32" s="18" t="n"/>
      <c r="J32" s="15" t="n"/>
      <c r="K32" s="15" t="n"/>
      <c r="L32" s="126" t="n"/>
      <c r="M32" s="126">
        <f>IF(OR(H32="سري",H32="سري للغاية",H32="مهم"),CONCATENATE("SEC-",TEXT(ROW(),"000"),"-",TEXT(RANDBETWEEN(1000,9999),"0000")),"")</f>
        <v/>
      </c>
    </row>
    <row r="33" ht="15" customHeight="1" s="188">
      <c r="B33" s="20" t="n"/>
      <c r="C33" s="20" t="n"/>
      <c r="D33" s="20" t="n"/>
      <c r="E33" s="20" t="n"/>
      <c r="F33" s="20" t="n"/>
      <c r="G33" s="17" t="n"/>
      <c r="H33" s="17" t="n"/>
      <c r="I33" s="22" t="n"/>
      <c r="J33" s="20" t="n"/>
      <c r="K33" s="20" t="n"/>
      <c r="L33" s="126" t="n"/>
      <c r="M33" s="126">
        <f>IF(OR(H33="سري",H33="سري للغاية",H33="مهم"),CONCATENATE("SEC-",TEXT(ROW(),"000"),"-",TEXT(RANDBETWEEN(1000,9999),"0000")),"")</f>
        <v/>
      </c>
    </row>
    <row r="34" ht="15" customHeight="1" s="188">
      <c r="B34" s="15" t="n"/>
      <c r="C34" s="15" t="n"/>
      <c r="D34" s="15" t="n"/>
      <c r="E34" s="15" t="n"/>
      <c r="F34" s="15" t="n"/>
      <c r="G34" s="17" t="n"/>
      <c r="H34" s="17" t="n"/>
      <c r="I34" s="18" t="n"/>
      <c r="J34" s="15" t="n"/>
      <c r="K34" s="15" t="n"/>
      <c r="L34" s="126" t="n"/>
      <c r="M34" s="126">
        <f>IF(OR(H34="سري",H34="سري للغاية",H34="مهم"),CONCATENATE("SEC-",TEXT(ROW(),"000"),"-",TEXT(RANDBETWEEN(1000,9999),"0000")),"")</f>
        <v/>
      </c>
    </row>
    <row r="35" ht="15" customHeight="1" s="188">
      <c r="B35" s="20" t="n"/>
      <c r="C35" s="20" t="n"/>
      <c r="D35" s="20" t="n"/>
      <c r="E35" s="20" t="n"/>
      <c r="F35" s="20" t="n"/>
      <c r="G35" s="17" t="n"/>
      <c r="H35" s="17" t="n"/>
      <c r="I35" s="22" t="n"/>
      <c r="J35" s="20" t="n"/>
      <c r="K35" s="20" t="n"/>
      <c r="L35" s="126" t="n"/>
      <c r="M35" s="126">
        <f>IF(OR(H35="سري",H35="سري للغاية",H35="مهم"),CONCATENATE("SEC-",TEXT(ROW(),"000"),"-",TEXT(RANDBETWEEN(1000,9999),"0000")),"")</f>
        <v/>
      </c>
    </row>
    <row r="36" ht="15" customHeight="1" s="188">
      <c r="B36" s="15" t="n"/>
      <c r="C36" s="15" t="n"/>
      <c r="D36" s="15" t="n"/>
      <c r="E36" s="15" t="n"/>
      <c r="F36" s="15" t="n"/>
      <c r="G36" s="17" t="n"/>
      <c r="H36" s="17" t="n"/>
      <c r="I36" s="18" t="n"/>
      <c r="J36" s="15" t="n"/>
      <c r="K36" s="15" t="n"/>
      <c r="L36" s="126" t="n"/>
      <c r="M36" s="126">
        <f>IF(OR(H36="سري",H36="سري للغاية",H36="مهم"),CONCATENATE("SEC-",TEXT(ROW(),"000"),"-",TEXT(RANDBETWEEN(1000,9999),"0000")),"")</f>
        <v/>
      </c>
    </row>
    <row r="37" ht="14.25" customHeight="1" s="188">
      <c r="B37" s="126" t="n"/>
      <c r="C37" s="126" t="n"/>
      <c r="D37" s="126" t="n"/>
      <c r="E37" s="126" t="n"/>
      <c r="F37" s="126" t="n"/>
      <c r="G37" s="126" t="n"/>
      <c r="H37" s="126" t="n"/>
      <c r="I37" s="126" t="n"/>
      <c r="J37" s="126" t="n"/>
      <c r="K37" s="126" t="n"/>
      <c r="L37" s="126" t="n"/>
      <c r="M37" s="126">
        <f>IF(OR(H37="سري",H37="سري للغاية",H37="مهم"),CONCATENATE("SEC-",TEXT(ROW(),"000"),"-",TEXT(RANDBETWEEN(1000,9999),"0000")),"")</f>
        <v/>
      </c>
    </row>
    <row r="38" ht="7.5" customHeight="1" s="188">
      <c r="B38" s="126" t="n"/>
      <c r="C38" s="126" t="n"/>
      <c r="D38" s="126" t="n"/>
      <c r="E38" s="126" t="n"/>
      <c r="F38" s="126" t="n"/>
      <c r="G38" s="126" t="n"/>
      <c r="H38" s="126" t="n"/>
      <c r="I38" s="126" t="n"/>
      <c r="J38" s="126" t="n"/>
      <c r="K38" s="126" t="n"/>
      <c r="L38" s="126" t="n"/>
      <c r="M38" s="126">
        <f>IF(OR(H38="سري",H38="سري للغاية",H38="مهم"),CONCATENATE("SEC-",TEXT(ROW(),"000"),"-",TEXT(RANDBETWEEN(1000,9999),"0000")),"")</f>
        <v/>
      </c>
    </row>
    <row r="39" ht="151.2" customHeight="1" s="188">
      <c r="A39" s="24" t="inlineStr">
        <is>
          <t>✅ المزامنة التلقائية نشطة! المستندات من صفحات الأقسام تظهر هنا فوراً. 🔐 المستندات السرية محمية بكلمة سر تلقائية في العمود M</t>
        </is>
      </c>
      <c r="B39" s="125" t="n"/>
      <c r="L39" s="126" t="n"/>
      <c r="M39" s="126">
        <f>IF(OR(H39="سري",H39="سري للغاية",H39="مهم"),CONCATENATE("SEC-",TEXT(ROW(),"000"),"-",TEXT(RANDBETWEEN(1000,9999),"0000")),"")</f>
        <v/>
      </c>
    </row>
    <row r="40" ht="14.25" customHeight="1" s="188">
      <c r="B40" s="126" t="n"/>
      <c r="C40" s="126" t="n"/>
      <c r="D40" s="126" t="n"/>
      <c r="E40" s="126" t="n"/>
      <c r="F40" s="126" t="n"/>
      <c r="G40" s="126" t="n"/>
      <c r="H40" s="126" t="n"/>
      <c r="I40" s="126" t="n"/>
      <c r="J40" s="126" t="n"/>
      <c r="K40" s="126" t="n"/>
      <c r="L40" s="126" t="n"/>
      <c r="M40" s="126">
        <f>IF(OR(H40="سري",H40="سري للغاية",H40="مهم"),CONCATENATE("SEC-",TEXT(ROW(),"000"),"-",TEXT(RANDBETWEEN(1000,9999),"0000")),"")</f>
        <v/>
      </c>
    </row>
    <row r="41" ht="14.25" customHeight="1" s="188">
      <c r="B41" s="126" t="n"/>
      <c r="C41" s="126" t="n"/>
      <c r="D41" s="126" t="n"/>
      <c r="E41" s="126" t="n"/>
      <c r="F41" s="126" t="n"/>
      <c r="G41" s="126" t="n"/>
      <c r="H41" s="126" t="n"/>
      <c r="I41" s="126" t="n"/>
      <c r="J41" s="126" t="n"/>
      <c r="K41" s="126" t="n"/>
      <c r="L41" s="126" t="n"/>
      <c r="M41" s="126">
        <f>IF(OR(H41="سري",H41="سري للغاية",H41="مهم"),CONCATENATE("SEC-",TEXT(ROW(),"000"),"-",TEXT(RANDBETWEEN(1000,9999),"0000")),"")</f>
        <v/>
      </c>
    </row>
    <row r="42" ht="14.25" customHeight="1" s="188">
      <c r="B42" s="126" t="n"/>
      <c r="C42" s="126" t="n"/>
      <c r="D42" s="126" t="n"/>
      <c r="E42" s="126" t="n"/>
      <c r="F42" s="126" t="n"/>
      <c r="G42" s="126" t="n"/>
      <c r="H42" s="126" t="n"/>
      <c r="I42" s="126" t="n"/>
      <c r="J42" s="126" t="n"/>
      <c r="K42" s="126" t="n"/>
      <c r="L42" s="126" t="n"/>
      <c r="M42" s="126">
        <f>IF(OR(H42="سري",H42="سري للغاية",H42="مهم"),CONCATENATE("SEC-",TEXT(ROW(),"000"),"-",TEXT(RANDBETWEEN(1000,9999),"0000")),"")</f>
        <v/>
      </c>
    </row>
    <row r="43" ht="14.25" customHeight="1" s="188">
      <c r="B43" s="126" t="n"/>
      <c r="C43" s="126" t="n"/>
      <c r="D43" s="126" t="n"/>
      <c r="E43" s="126" t="n"/>
      <c r="F43" s="126" t="n"/>
      <c r="G43" s="126" t="n"/>
      <c r="H43" s="126" t="n"/>
      <c r="I43" s="126" t="n"/>
      <c r="J43" s="126" t="n"/>
      <c r="K43" s="126" t="n"/>
      <c r="L43" s="126" t="n"/>
      <c r="M43" s="126">
        <f>IF(OR(H43="سري",H43="سري للغاية",H43="مهم"),CONCATENATE("SEC-",TEXT(ROW(),"000"),"-",TEXT(RANDBETWEEN(1000,9999),"0000")),"")</f>
        <v/>
      </c>
    </row>
    <row r="44" ht="14.25" customHeight="1" s="188">
      <c r="B44" s="126" t="n"/>
      <c r="C44" s="126" t="n"/>
      <c r="D44" s="126" t="n"/>
      <c r="E44" s="126" t="n"/>
      <c r="F44" s="126" t="n"/>
      <c r="G44" s="126" t="n"/>
      <c r="H44" s="126" t="n"/>
      <c r="I44" s="126" t="n"/>
      <c r="J44" s="126" t="n"/>
      <c r="K44" s="126" t="n"/>
      <c r="L44" s="126" t="n"/>
      <c r="M44" s="126">
        <f>IF(OR(H44="سري",H44="سري للغاية",H44="مهم"),CONCATENATE("SEC-",TEXT(ROW(),"000"),"-",TEXT(RANDBETWEEN(1000,9999),"0000")),"")</f>
        <v/>
      </c>
    </row>
    <row r="45" ht="14.25" customHeight="1" s="188">
      <c r="B45" s="126" t="n"/>
      <c r="C45" s="126" t="n"/>
      <c r="D45" s="126" t="n"/>
      <c r="E45" s="126" t="n"/>
      <c r="F45" s="126" t="n"/>
      <c r="G45" s="126" t="n"/>
      <c r="H45" s="126" t="n"/>
      <c r="I45" s="126" t="n"/>
      <c r="J45" s="126" t="n"/>
      <c r="K45" s="126" t="n"/>
      <c r="L45" s="126" t="n"/>
      <c r="M45" s="126">
        <f>IF(OR(H45="سري",H45="سري للغاية",H45="مهم"),CONCATENATE("SEC-",TEXT(ROW(),"000"),"-",TEXT(RANDBETWEEN(1000,9999),"0000")),"")</f>
        <v/>
      </c>
    </row>
    <row r="46" ht="14.25" customHeight="1" s="188">
      <c r="B46" s="126" t="n"/>
      <c r="C46" s="126" t="n"/>
      <c r="D46" s="126" t="n"/>
      <c r="E46" s="126" t="n"/>
      <c r="F46" s="126" t="n"/>
      <c r="G46" s="126" t="n"/>
      <c r="H46" s="126" t="n"/>
      <c r="I46" s="126" t="n"/>
      <c r="J46" s="126" t="n"/>
      <c r="K46" s="126" t="n"/>
      <c r="L46" s="126" t="n"/>
      <c r="M46" s="126">
        <f>IF(OR(H46="سري",H46="سري للغاية",H46="مهم"),CONCATENATE("SEC-",TEXT(ROW(),"000"),"-",TEXT(RANDBETWEEN(1000,9999),"0000")),"")</f>
        <v/>
      </c>
    </row>
    <row r="47" ht="14.25" customHeight="1" s="188">
      <c r="B47" s="126" t="n"/>
      <c r="C47" s="126" t="n"/>
      <c r="D47" s="126" t="n"/>
      <c r="E47" s="126" t="n"/>
      <c r="F47" s="126" t="n"/>
      <c r="G47" s="126" t="n"/>
      <c r="H47" s="126" t="n"/>
      <c r="I47" s="126" t="n"/>
      <c r="J47" s="126" t="n"/>
      <c r="K47" s="126" t="n"/>
      <c r="L47" s="126" t="n"/>
      <c r="M47" s="126">
        <f>IF(OR(H47="سري",H47="سري للغاية",H47="مهم"),CONCATENATE("SEC-",TEXT(ROW(),"000"),"-",TEXT(RANDBETWEEN(1000,9999),"0000")),"")</f>
        <v/>
      </c>
    </row>
    <row r="48" ht="14.25" customHeight="1" s="188">
      <c r="B48" s="126" t="n"/>
      <c r="C48" s="126" t="n"/>
      <c r="D48" s="126" t="n"/>
      <c r="E48" s="126" t="n"/>
      <c r="F48" s="126" t="n"/>
      <c r="G48" s="126" t="n"/>
      <c r="H48" s="126" t="n"/>
      <c r="I48" s="126" t="n"/>
      <c r="J48" s="126" t="n"/>
      <c r="K48" s="126" t="n"/>
      <c r="L48" s="126" t="n"/>
      <c r="M48" s="126">
        <f>IF(OR(H48="سري",H48="سري للغاية",H48="مهم"),CONCATENATE("SEC-",TEXT(ROW(),"000"),"-",TEXT(RANDBETWEEN(1000,9999),"0000")),"")</f>
        <v/>
      </c>
    </row>
    <row r="49" ht="14.25" customHeight="1" s="188">
      <c r="B49" s="126" t="n"/>
      <c r="C49" s="126" t="n"/>
      <c r="D49" s="126" t="n"/>
      <c r="E49" s="126" t="n"/>
      <c r="F49" s="126" t="n"/>
      <c r="G49" s="126" t="n"/>
      <c r="H49" s="126" t="n"/>
      <c r="I49" s="126" t="n"/>
      <c r="J49" s="126" t="n"/>
      <c r="K49" s="126" t="n"/>
      <c r="L49" s="126" t="n"/>
      <c r="M49" s="126">
        <f>IF(OR(H49="سري",H49="سري للغاية",H49="مهم"),CONCATENATE("SEC-",TEXT(ROW(),"000"),"-",TEXT(RANDBETWEEN(1000,9999),"0000")),"")</f>
        <v/>
      </c>
    </row>
    <row r="50" ht="14.25" customHeight="1" s="188">
      <c r="B50" s="126" t="n"/>
      <c r="C50" s="126" t="n"/>
      <c r="D50" s="126" t="n"/>
      <c r="E50" s="126" t="n"/>
      <c r="F50" s="126" t="n"/>
      <c r="G50" s="126" t="n"/>
      <c r="H50" s="126" t="n"/>
      <c r="I50" s="126" t="n"/>
      <c r="J50" s="126" t="n"/>
      <c r="K50" s="126" t="n"/>
      <c r="L50" s="126" t="n"/>
      <c r="M50" s="126">
        <f>IF(OR(H50="سري",H50="سري للغاية",H50="مهم"),CONCATENATE("SEC-",TEXT(ROW(),"000"),"-",TEXT(RANDBETWEEN(1000,9999),"0000")),"")</f>
        <v/>
      </c>
    </row>
    <row r="51" ht="14.25" customHeight="1" s="188">
      <c r="B51" s="126" t="n"/>
      <c r="C51" s="126" t="n"/>
      <c r="D51" s="126" t="n"/>
      <c r="E51" s="126" t="n"/>
      <c r="F51" s="126" t="n"/>
      <c r="G51" s="126" t="n"/>
      <c r="H51" s="126" t="n"/>
      <c r="I51" s="126" t="n"/>
      <c r="J51" s="126" t="n"/>
      <c r="K51" s="126" t="n"/>
      <c r="L51" s="126" t="n"/>
      <c r="M51" s="126">
        <f>IF(OR(H51="سري",H51="سري للغاية",H51="مهم"),CONCATENATE("SEC-",TEXT(ROW(),"000"),"-",TEXT(RANDBETWEEN(1000,9999),"0000")),"")</f>
        <v/>
      </c>
    </row>
    <row r="52" ht="14.25" customHeight="1" s="188">
      <c r="B52" s="126" t="n"/>
      <c r="C52" s="126" t="n"/>
      <c r="D52" s="126" t="n"/>
      <c r="E52" s="126" t="n"/>
      <c r="F52" s="126" t="n"/>
      <c r="G52" s="126" t="n"/>
      <c r="H52" s="126" t="n"/>
      <c r="I52" s="126" t="n"/>
      <c r="J52" s="126" t="n"/>
      <c r="K52" s="126" t="n"/>
      <c r="L52" s="126" t="n"/>
      <c r="M52" s="126">
        <f>IF(OR(H52="سري",H52="سري للغاية",H52="مهم"),CONCATENATE("SEC-",TEXT(ROW(),"000"),"-",TEXT(RANDBETWEEN(1000,9999),"0000")),"")</f>
        <v/>
      </c>
    </row>
    <row r="53" ht="14.25" customHeight="1" s="188">
      <c r="B53" s="126" t="n"/>
      <c r="C53" s="126" t="n"/>
      <c r="D53" s="126" t="n"/>
      <c r="E53" s="126" t="n"/>
      <c r="F53" s="126" t="n"/>
      <c r="G53" s="126" t="n"/>
      <c r="H53" s="126" t="n"/>
      <c r="I53" s="126" t="n"/>
      <c r="J53" s="126" t="n"/>
      <c r="K53" s="126" t="n"/>
      <c r="L53" s="126" t="n"/>
      <c r="M53" s="126">
        <f>IF(OR(H53="سري",H53="سري للغاية",H53="مهم"),CONCATENATE("SEC-",TEXT(ROW(),"000"),"-",TEXT(RANDBETWEEN(1000,9999),"0000")),"")</f>
        <v/>
      </c>
    </row>
    <row r="54" ht="14.25" customHeight="1" s="188">
      <c r="B54" s="126" t="n"/>
      <c r="C54" s="126" t="n"/>
      <c r="D54" s="126" t="n"/>
      <c r="E54" s="126" t="n"/>
      <c r="F54" s="126" t="n"/>
      <c r="G54" s="126" t="n"/>
      <c r="H54" s="126" t="n"/>
      <c r="I54" s="126" t="n"/>
      <c r="J54" s="126" t="n"/>
      <c r="K54" s="126" t="n"/>
      <c r="L54" s="126" t="n"/>
      <c r="M54" s="126">
        <f>IF(OR(H54="سري",H54="سري للغاية",H54="مهم"),CONCATENATE("SEC-",TEXT(ROW(),"000"),"-",TEXT(RANDBETWEEN(1000,9999),"0000")),"")</f>
        <v/>
      </c>
    </row>
    <row r="55" ht="14.25" customHeight="1" s="188">
      <c r="B55" s="126" t="n"/>
      <c r="C55" s="126" t="n"/>
      <c r="D55" s="126" t="n"/>
      <c r="E55" s="126" t="n"/>
      <c r="F55" s="126" t="n"/>
      <c r="G55" s="126" t="n"/>
      <c r="H55" s="126" t="n"/>
      <c r="I55" s="126" t="n"/>
      <c r="J55" s="126" t="n"/>
      <c r="K55" s="126" t="n"/>
      <c r="L55" s="126" t="n"/>
      <c r="M55" s="126">
        <f>IF(OR(H55="سري",H55="سري للغاية",H55="مهم"),CONCATENATE("SEC-",TEXT(ROW(),"000"),"-",TEXT(RANDBETWEEN(1000,9999),"0000")),"")</f>
        <v/>
      </c>
    </row>
    <row r="56" ht="14.25" customHeight="1" s="188">
      <c r="B56" s="126" t="n"/>
      <c r="C56" s="126" t="n"/>
      <c r="D56" s="126" t="n"/>
      <c r="E56" s="126" t="n"/>
      <c r="F56" s="126" t="n"/>
      <c r="G56" s="126" t="n"/>
      <c r="H56" s="126" t="n"/>
      <c r="I56" s="126" t="n"/>
      <c r="J56" s="126" t="n"/>
      <c r="K56" s="126" t="n"/>
      <c r="L56" s="126" t="n"/>
      <c r="M56" s="126">
        <f>IF(OR(H56="سري",H56="سري للغاية",H56="مهم"),CONCATENATE("SEC-",TEXT(ROW(),"000"),"-",TEXT(RANDBETWEEN(1000,9999),"0000")),"")</f>
        <v/>
      </c>
    </row>
    <row r="57" ht="14.25" customHeight="1" s="188">
      <c r="B57" s="126" t="n"/>
      <c r="C57" s="126" t="n"/>
      <c r="D57" s="126" t="n"/>
      <c r="E57" s="126" t="n"/>
      <c r="F57" s="126" t="n"/>
      <c r="G57" s="126" t="n"/>
      <c r="H57" s="126" t="n"/>
      <c r="I57" s="126" t="n"/>
      <c r="J57" s="126" t="n"/>
      <c r="K57" s="126" t="n"/>
      <c r="L57" s="126" t="n"/>
      <c r="M57" s="126">
        <f>IF(OR(H57="سري",H57="سري للغاية",H57="مهم"),CONCATENATE("SEC-",TEXT(ROW(),"000"),"-",TEXT(RANDBETWEEN(1000,9999),"0000")),"")</f>
        <v/>
      </c>
    </row>
    <row r="58" ht="14.25" customHeight="1" s="188">
      <c r="B58" s="126" t="n"/>
      <c r="C58" s="126" t="n"/>
      <c r="D58" s="126" t="n"/>
      <c r="E58" s="126" t="n"/>
      <c r="F58" s="126" t="n"/>
      <c r="G58" s="126" t="n"/>
      <c r="H58" s="126" t="n"/>
      <c r="I58" s="126" t="n"/>
      <c r="J58" s="126" t="n"/>
      <c r="K58" s="126" t="n"/>
      <c r="L58" s="126" t="n"/>
      <c r="M58" s="126">
        <f>IF(OR(H58="سري",H58="سري للغاية",H58="مهم"),CONCATENATE("SEC-",TEXT(ROW(),"000"),"-",TEXT(RANDBETWEEN(1000,9999),"0000")),"")</f>
        <v/>
      </c>
    </row>
    <row r="59" ht="14.25" customHeight="1" s="188">
      <c r="B59" s="126" t="n"/>
      <c r="C59" s="126" t="n"/>
      <c r="D59" s="126" t="n"/>
      <c r="E59" s="126" t="n"/>
      <c r="F59" s="126" t="n"/>
      <c r="G59" s="126" t="n"/>
      <c r="H59" s="126" t="n"/>
      <c r="I59" s="126" t="n"/>
      <c r="J59" s="126" t="n"/>
      <c r="K59" s="126" t="n"/>
      <c r="L59" s="126" t="n"/>
      <c r="M59" s="126">
        <f>IF(OR(H59="سري",H59="سري للغاية",H59="مهم"),CONCATENATE("SEC-",TEXT(ROW(),"000"),"-",TEXT(RANDBETWEEN(1000,9999),"0000")),"")</f>
        <v/>
      </c>
    </row>
    <row r="60" ht="14.25" customHeight="1" s="188">
      <c r="B60" s="126" t="n"/>
      <c r="C60" s="126" t="n"/>
      <c r="D60" s="126" t="n"/>
      <c r="E60" s="126" t="n"/>
      <c r="F60" s="126" t="n"/>
      <c r="G60" s="126" t="n"/>
      <c r="H60" s="126" t="n"/>
      <c r="I60" s="126" t="n"/>
      <c r="J60" s="126" t="n"/>
      <c r="K60" s="126" t="n"/>
      <c r="L60" s="126" t="n"/>
      <c r="M60" s="126">
        <f>IF(OR(H60="سري",H60="سري للغاية",H60="مهم"),CONCATENATE("SEC-",TEXT(ROW(),"000"),"-",TEXT(RANDBETWEEN(1000,9999),"0000")),"")</f>
        <v/>
      </c>
    </row>
    <row r="61" ht="14.25" customHeight="1" s="188">
      <c r="B61" s="126" t="n"/>
      <c r="C61" s="126" t="n"/>
      <c r="D61" s="126" t="n"/>
      <c r="E61" s="126" t="n"/>
      <c r="F61" s="126" t="n"/>
      <c r="G61" s="126" t="n"/>
      <c r="H61" s="126" t="n"/>
      <c r="I61" s="126" t="n"/>
      <c r="J61" s="126" t="n"/>
      <c r="K61" s="126" t="n"/>
      <c r="L61" s="126" t="n"/>
      <c r="M61" s="126">
        <f>IF(OR(H61="سري",H61="سري للغاية",H61="مهم"),CONCATENATE("SEC-",TEXT(ROW(),"000"),"-",TEXT(RANDBETWEEN(1000,9999),"0000")),"")</f>
        <v/>
      </c>
    </row>
    <row r="62" ht="14.25" customHeight="1" s="188">
      <c r="B62" s="126" t="n"/>
      <c r="C62" s="126" t="n"/>
      <c r="D62" s="126" t="n"/>
      <c r="E62" s="126" t="n"/>
      <c r="F62" s="126" t="n"/>
      <c r="G62" s="126" t="n"/>
      <c r="H62" s="126" t="n"/>
      <c r="I62" s="126" t="n"/>
      <c r="J62" s="126" t="n"/>
      <c r="K62" s="126" t="n"/>
      <c r="L62" s="126" t="n"/>
      <c r="M62" s="126">
        <f>IF(OR(H62="سري",H62="سري للغاية",H62="مهم"),CONCATENATE("SEC-",TEXT(ROW(),"000"),"-",TEXT(RANDBETWEEN(1000,9999),"0000")),"")</f>
        <v/>
      </c>
    </row>
    <row r="63" ht="14.25" customHeight="1" s="188">
      <c r="B63" s="126" t="n"/>
      <c r="C63" s="126" t="n"/>
      <c r="D63" s="126" t="n"/>
      <c r="E63" s="126" t="n"/>
      <c r="F63" s="126" t="n"/>
      <c r="G63" s="126" t="n"/>
      <c r="H63" s="126" t="n"/>
      <c r="I63" s="126" t="n"/>
      <c r="J63" s="126" t="n"/>
      <c r="K63" s="126" t="n"/>
      <c r="L63" s="126" t="n"/>
      <c r="M63" s="126">
        <f>IF(OR(H63="سري",H63="سري للغاية",H63="مهم"),CONCATENATE("SEC-",TEXT(ROW(),"000"),"-",TEXT(RANDBETWEEN(1000,9999),"0000")),"")</f>
        <v/>
      </c>
    </row>
    <row r="64" ht="14.25" customHeight="1" s="188">
      <c r="B64" s="126" t="n"/>
      <c r="C64" s="126" t="n"/>
      <c r="D64" s="126" t="n"/>
      <c r="E64" s="126" t="n"/>
      <c r="F64" s="126" t="n"/>
      <c r="G64" s="126" t="n"/>
      <c r="H64" s="126" t="n"/>
      <c r="I64" s="126" t="n"/>
      <c r="J64" s="126" t="n"/>
      <c r="K64" s="126" t="n"/>
      <c r="L64" s="126" t="n"/>
      <c r="M64" s="126">
        <f>IF(OR(H64="سري",H64="سري للغاية",H64="مهم"),CONCATENATE("SEC-",TEXT(ROW(),"000"),"-",TEXT(RANDBETWEEN(1000,9999),"0000")),"")</f>
        <v/>
      </c>
    </row>
    <row r="65" ht="14.25" customHeight="1" s="188">
      <c r="B65" s="126" t="n"/>
      <c r="C65" s="126" t="n"/>
      <c r="D65" s="126" t="n"/>
      <c r="E65" s="126" t="n"/>
      <c r="F65" s="126" t="n"/>
      <c r="G65" s="126" t="n"/>
      <c r="H65" s="126" t="n"/>
      <c r="I65" s="126" t="n"/>
      <c r="J65" s="126" t="n"/>
      <c r="K65" s="126" t="n"/>
      <c r="L65" s="126" t="n"/>
      <c r="M65" s="126">
        <f>IF(OR(H65="سري",H65="سري للغاية",H65="مهم"),CONCATENATE("SEC-",TEXT(ROW(),"000"),"-",TEXT(RANDBETWEEN(1000,9999),"0000")),"")</f>
        <v/>
      </c>
    </row>
    <row r="66" ht="14.25" customHeight="1" s="188">
      <c r="B66" s="126" t="n"/>
      <c r="C66" s="126" t="n"/>
      <c r="D66" s="126" t="n"/>
      <c r="E66" s="126" t="n"/>
      <c r="F66" s="126" t="n"/>
      <c r="G66" s="126" t="n"/>
      <c r="H66" s="126" t="n"/>
      <c r="I66" s="126" t="n"/>
      <c r="J66" s="126" t="n"/>
      <c r="K66" s="126" t="n"/>
      <c r="L66" s="126" t="n"/>
      <c r="M66" s="126">
        <f>IF(OR(H66="سري",H66="سري للغاية",H66="مهم"),CONCATENATE("SEC-",TEXT(ROW(),"000"),"-",TEXT(RANDBETWEEN(1000,9999),"0000")),"")</f>
        <v/>
      </c>
    </row>
    <row r="67" ht="14.25" customHeight="1" s="188">
      <c r="B67" s="126" t="n"/>
      <c r="C67" s="126" t="n"/>
      <c r="D67" s="126" t="n"/>
      <c r="E67" s="126" t="n"/>
      <c r="F67" s="126" t="n"/>
      <c r="G67" s="126" t="n"/>
      <c r="H67" s="126" t="n"/>
      <c r="I67" s="126" t="n"/>
      <c r="J67" s="126" t="n"/>
      <c r="K67" s="126" t="n"/>
      <c r="L67" s="126" t="n"/>
      <c r="M67" s="126">
        <f>IF(OR(H67="سري",H67="سري للغاية",H67="مهم"),CONCATENATE("SEC-",TEXT(ROW(),"000"),"-",TEXT(RANDBETWEEN(1000,9999),"0000")),"")</f>
        <v/>
      </c>
    </row>
    <row r="68" ht="14.25" customHeight="1" s="188">
      <c r="B68" s="126" t="n"/>
      <c r="C68" s="126" t="n"/>
      <c r="D68" s="126" t="n"/>
      <c r="E68" s="126" t="n"/>
      <c r="F68" s="126" t="n"/>
      <c r="G68" s="126" t="n"/>
      <c r="H68" s="126" t="n"/>
      <c r="I68" s="126" t="n"/>
      <c r="J68" s="126" t="n"/>
      <c r="K68" s="126" t="n"/>
      <c r="L68" s="126" t="n"/>
      <c r="M68" s="126">
        <f>IF(OR(H68="سري",H68="سري للغاية",H68="مهم"),CONCATENATE("SEC-",TEXT(ROW(),"000"),"-",TEXT(RANDBETWEEN(1000,9999),"0000")),"")</f>
        <v/>
      </c>
    </row>
    <row r="69" ht="14.25" customHeight="1" s="188">
      <c r="B69" s="126" t="n"/>
      <c r="C69" s="126" t="n"/>
      <c r="D69" s="126" t="n"/>
      <c r="E69" s="126" t="n"/>
      <c r="F69" s="126" t="n"/>
      <c r="G69" s="126" t="n"/>
      <c r="H69" s="126" t="n"/>
      <c r="I69" s="126" t="n"/>
      <c r="J69" s="126" t="n"/>
      <c r="K69" s="126" t="n"/>
      <c r="L69" s="126" t="n"/>
      <c r="M69" s="126">
        <f>IF(OR(H69="سري",H69="سري للغاية",H69="مهم"),CONCATENATE("SEC-",TEXT(ROW(),"000"),"-",TEXT(RANDBETWEEN(1000,9999),"0000")),"")</f>
        <v/>
      </c>
    </row>
    <row r="70" ht="14.25" customHeight="1" s="188">
      <c r="B70" s="126" t="n"/>
      <c r="C70" s="126" t="n"/>
      <c r="D70" s="126" t="n"/>
      <c r="E70" s="126" t="n"/>
      <c r="F70" s="126" t="n"/>
      <c r="G70" s="126" t="n"/>
      <c r="H70" s="126" t="n"/>
      <c r="I70" s="126" t="n"/>
      <c r="J70" s="126" t="n"/>
      <c r="K70" s="126" t="n"/>
      <c r="L70" s="126" t="n"/>
      <c r="M70" s="126">
        <f>IF(OR(H70="سري",H70="سري للغاية",H70="مهم"),CONCATENATE("SEC-",TEXT(ROW(),"000"),"-",TEXT(RANDBETWEEN(1000,9999),"0000")),"")</f>
        <v/>
      </c>
    </row>
    <row r="71" ht="14.25" customHeight="1" s="188">
      <c r="B71" s="126" t="n"/>
      <c r="C71" s="126" t="n"/>
      <c r="D71" s="126" t="n"/>
      <c r="E71" s="126" t="n"/>
      <c r="F71" s="126" t="n"/>
      <c r="G71" s="126" t="n"/>
      <c r="H71" s="126" t="n"/>
      <c r="I71" s="126" t="n"/>
      <c r="J71" s="126" t="n"/>
      <c r="K71" s="126" t="n"/>
      <c r="L71" s="126" t="n"/>
      <c r="M71" s="126">
        <f>IF(OR(H71="سري",H71="سري للغاية",H71="مهم"),CONCATENATE("SEC-",TEXT(ROW(),"000"),"-",TEXT(RANDBETWEEN(1000,9999),"0000")),"")</f>
        <v/>
      </c>
    </row>
    <row r="72" ht="14.25" customHeight="1" s="188">
      <c r="B72" s="126" t="n"/>
      <c r="C72" s="126" t="n"/>
      <c r="D72" s="126" t="n"/>
      <c r="E72" s="126" t="n"/>
      <c r="F72" s="126" t="n"/>
      <c r="G72" s="126" t="n"/>
      <c r="H72" s="126" t="n"/>
      <c r="I72" s="126" t="n"/>
      <c r="J72" s="126" t="n"/>
      <c r="K72" s="126" t="n"/>
      <c r="L72" s="126" t="n"/>
      <c r="M72" s="126">
        <f>IF(OR(H72="سري",H72="سري للغاية",H72="مهم"),CONCATENATE("SEC-",TEXT(ROW(),"000"),"-",TEXT(RANDBETWEEN(1000,9999),"0000")),"")</f>
        <v/>
      </c>
    </row>
    <row r="73" ht="14.25" customHeight="1" s="188">
      <c r="B73" s="126" t="n"/>
      <c r="C73" s="126" t="n"/>
      <c r="D73" s="126" t="n"/>
      <c r="E73" s="126" t="n"/>
      <c r="F73" s="126" t="n"/>
      <c r="G73" s="126" t="n"/>
      <c r="H73" s="126" t="n"/>
      <c r="I73" s="126" t="n"/>
      <c r="J73" s="126" t="n"/>
      <c r="K73" s="126" t="n"/>
      <c r="L73" s="126" t="n"/>
      <c r="M73" s="126">
        <f>IF(OR(H73="سري",H73="سري للغاية",H73="مهم"),CONCATENATE("SEC-",TEXT(ROW(),"000"),"-",TEXT(RANDBETWEEN(1000,9999),"0000")),"")</f>
        <v/>
      </c>
    </row>
    <row r="74" ht="14.25" customHeight="1" s="188">
      <c r="B74" s="126" t="n"/>
      <c r="C74" s="126" t="n"/>
      <c r="D74" s="126" t="n"/>
      <c r="E74" s="126" t="n"/>
      <c r="F74" s="126" t="n"/>
      <c r="G74" s="126" t="n"/>
      <c r="H74" s="126" t="n"/>
      <c r="I74" s="126" t="n"/>
      <c r="J74" s="126" t="n"/>
      <c r="K74" s="126" t="n"/>
      <c r="L74" s="126" t="n"/>
      <c r="M74" s="126">
        <f>IF(OR(H74="سري",H74="سري للغاية",H74="مهم"),CONCATENATE("SEC-",TEXT(ROW(),"000"),"-",TEXT(RANDBETWEEN(1000,9999),"0000")),"")</f>
        <v/>
      </c>
    </row>
    <row r="75" ht="14.25" customHeight="1" s="188">
      <c r="B75" s="126" t="n"/>
      <c r="C75" s="126" t="n"/>
      <c r="D75" s="126" t="n"/>
      <c r="E75" s="126" t="n"/>
      <c r="F75" s="126" t="n"/>
      <c r="G75" s="126" t="n"/>
      <c r="H75" s="126" t="n"/>
      <c r="I75" s="126" t="n"/>
      <c r="J75" s="126" t="n"/>
      <c r="K75" s="126" t="n"/>
      <c r="L75" s="126" t="n"/>
      <c r="M75" s="126">
        <f>IF(OR(H75="سري",H75="سري للغاية",H75="مهم"),CONCATENATE("SEC-",TEXT(ROW(),"000"),"-",TEXT(RANDBETWEEN(1000,9999),"0000")),"")</f>
        <v/>
      </c>
    </row>
    <row r="76" ht="14.25" customHeight="1" s="188">
      <c r="B76" s="126" t="n"/>
      <c r="C76" s="126" t="n"/>
      <c r="D76" s="126" t="n"/>
      <c r="E76" s="126" t="n"/>
      <c r="F76" s="126" t="n"/>
      <c r="G76" s="126" t="n"/>
      <c r="H76" s="126" t="n"/>
      <c r="I76" s="126" t="n"/>
      <c r="J76" s="126" t="n"/>
      <c r="K76" s="126" t="n"/>
      <c r="L76" s="126" t="n"/>
      <c r="M76" s="126">
        <f>IF(OR(H76="سري",H76="سري للغاية",H76="مهم"),CONCATENATE("SEC-",TEXT(ROW(),"000"),"-",TEXT(RANDBETWEEN(1000,9999),"0000")),"")</f>
        <v/>
      </c>
    </row>
    <row r="77" ht="14.25" customHeight="1" s="188">
      <c r="B77" s="14" t="n"/>
      <c r="C77" s="14" t="n"/>
      <c r="D77" s="14" t="n"/>
      <c r="E77" s="25" t="n"/>
      <c r="F77" s="14" t="n"/>
      <c r="G77" s="14" t="n"/>
      <c r="H77" s="14" t="n"/>
      <c r="I77" s="14" t="n"/>
      <c r="J77" s="14" t="n"/>
      <c r="K77" s="14" t="n"/>
      <c r="L77" s="14" t="n"/>
      <c r="M77" s="14">
        <f>IF(OR(H77="سري",H77="سري للغاية",H77="مهم"),CONCATENATE("SEC-",TEXT(ROW(),"000"),"-",TEXT(RANDBETWEEN(1000,9999),"0000")),"")</f>
        <v/>
      </c>
    </row>
    <row r="78" ht="14.25" customHeight="1" s="188">
      <c r="B78" s="126" t="n"/>
      <c r="C78" s="126" t="n"/>
      <c r="D78" s="126" t="n"/>
      <c r="E78" s="126" t="n"/>
      <c r="F78" s="126" t="n"/>
      <c r="G78" s="126" t="n"/>
      <c r="H78" s="126" t="n"/>
      <c r="I78" s="126" t="n"/>
      <c r="J78" s="126" t="n"/>
      <c r="K78" s="126" t="n"/>
      <c r="L78" s="126" t="n"/>
      <c r="M78" s="126">
        <f>IF(OR(H78="سري",H78="سري للغاية",H78="مهم"),CONCATENATE("SEC-",TEXT(ROW(),"000"),"-",TEXT(RANDBETWEEN(1000,9999),"0000")),"")</f>
        <v/>
      </c>
    </row>
    <row r="79" ht="14.25" customHeight="1" s="188">
      <c r="B79" s="126" t="n"/>
      <c r="C79" s="126" t="n"/>
      <c r="D79" s="126" t="n"/>
      <c r="E79" s="126" t="n"/>
      <c r="F79" s="126" t="n"/>
      <c r="G79" s="126" t="n"/>
      <c r="H79" s="126" t="n"/>
      <c r="I79" s="126" t="n"/>
      <c r="J79" s="126" t="n"/>
      <c r="K79" s="126" t="n"/>
      <c r="L79" s="126" t="n"/>
      <c r="M79" s="126">
        <f>IF(OR(H79="سري",H79="سري للغاية",H79="مهم"),CONCATENATE("SEC-",TEXT(ROW(),"000"),"-",TEXT(RANDBETWEEN(1000,9999),"0000")),"")</f>
        <v/>
      </c>
    </row>
    <row r="80" ht="14.25" customHeight="1" s="188">
      <c r="B80" s="126" t="n"/>
      <c r="C80" s="126" t="n"/>
      <c r="D80" s="126" t="n"/>
      <c r="E80" s="126" t="n"/>
      <c r="F80" s="126" t="n"/>
      <c r="G80" s="126" t="n"/>
      <c r="H80" s="126" t="n"/>
      <c r="I80" s="126" t="n"/>
      <c r="J80" s="126" t="n"/>
      <c r="K80" s="126" t="n"/>
      <c r="L80" s="126" t="n"/>
      <c r="M80" s="126">
        <f>IF(OR(H80="سري",H80="سري للغاية",H80="مهم"),CONCATENATE("SEC-",TEXT(ROW(),"000"),"-",TEXT(RANDBETWEEN(1000,9999),"0000")),"")</f>
        <v/>
      </c>
    </row>
    <row r="81" ht="14.25" customHeight="1" s="188">
      <c r="B81" s="126" t="n"/>
      <c r="C81" s="126" t="n"/>
      <c r="D81" s="126" t="n"/>
      <c r="E81" s="126" t="n"/>
      <c r="F81" s="126" t="n"/>
      <c r="G81" s="126" t="n"/>
      <c r="H81" s="126" t="n"/>
      <c r="I81" s="126" t="n"/>
      <c r="J81" s="126" t="n"/>
      <c r="K81" s="126" t="n"/>
      <c r="L81" s="126" t="n"/>
      <c r="M81" s="126">
        <f>IF(OR(H81="سري",H81="سري للغاية",H81="مهم"),CONCATENATE("SEC-",TEXT(ROW(),"000"),"-",TEXT(RANDBETWEEN(1000,9999),"0000")),"")</f>
        <v/>
      </c>
    </row>
    <row r="82" ht="14.25" customHeight="1" s="188">
      <c r="B82" s="126" t="n"/>
      <c r="C82" s="126" t="n"/>
      <c r="D82" s="126" t="n"/>
      <c r="E82" s="126" t="n"/>
      <c r="F82" s="126" t="n"/>
      <c r="G82" s="126" t="n"/>
      <c r="H82" s="126" t="n"/>
      <c r="I82" s="126" t="n"/>
      <c r="J82" s="126" t="n"/>
      <c r="K82" s="126" t="n"/>
      <c r="L82" s="126" t="n"/>
      <c r="M82" s="126">
        <f>IF(OR(H82="سري",H82="سري للغاية",H82="مهم"),CONCATENATE("SEC-",TEXT(ROW(),"000"),"-",TEXT(RANDBETWEEN(1000,9999),"0000")),"")</f>
        <v/>
      </c>
    </row>
    <row r="83" ht="14.25" customHeight="1" s="188">
      <c r="B83" s="126" t="n"/>
      <c r="C83" s="126" t="n"/>
      <c r="D83" s="126" t="n"/>
      <c r="E83" s="126" t="n"/>
      <c r="F83" s="126" t="n"/>
      <c r="G83" s="126" t="n"/>
      <c r="H83" s="126" t="n"/>
      <c r="I83" s="126" t="n"/>
      <c r="J83" s="126" t="n"/>
      <c r="K83" s="126" t="n"/>
      <c r="L83" s="126" t="n"/>
      <c r="M83" s="126">
        <f>IF(OR(H83="سري",H83="سري للغاية",H83="مهم"),CONCATENATE("SEC-",TEXT(ROW(),"000"),"-",TEXT(RANDBETWEEN(1000,9999),"0000")),"")</f>
        <v/>
      </c>
    </row>
    <row r="84" ht="14.25" customHeight="1" s="188">
      <c r="B84" s="126" t="n"/>
      <c r="C84" s="126" t="n"/>
      <c r="D84" s="126" t="n"/>
      <c r="E84" s="126" t="n"/>
      <c r="F84" s="126" t="n"/>
      <c r="G84" s="126" t="n"/>
      <c r="H84" s="126" t="n"/>
      <c r="I84" s="126" t="n"/>
      <c r="J84" s="126" t="n"/>
      <c r="K84" s="126" t="n"/>
      <c r="L84" s="126" t="n"/>
      <c r="M84" s="126">
        <f>IF(OR(H84="سري",H84="سري للغاية",H84="مهم"),CONCATENATE("SEC-",TEXT(ROW(),"000"),"-",TEXT(RANDBETWEEN(1000,9999),"0000")),"")</f>
        <v/>
      </c>
    </row>
    <row r="85" ht="14.25" customHeight="1" s="188">
      <c r="B85" s="126" t="n"/>
      <c r="C85" s="126" t="n"/>
      <c r="D85" s="126" t="n"/>
      <c r="E85" s="126" t="n"/>
      <c r="F85" s="126" t="n"/>
      <c r="G85" s="126" t="n"/>
      <c r="H85" s="126" t="n"/>
      <c r="I85" s="126" t="n"/>
      <c r="J85" s="126" t="n"/>
      <c r="K85" s="126" t="n"/>
      <c r="L85" s="126" t="n"/>
      <c r="M85" s="126">
        <f>IF(OR(H85="سري",H85="سري للغاية",H85="مهم"),CONCATENATE("SEC-",TEXT(ROW(),"000"),"-",TEXT(RANDBETWEEN(1000,9999),"0000")),"")</f>
        <v/>
      </c>
    </row>
    <row r="86" ht="14.25" customHeight="1" s="188">
      <c r="B86" s="126" t="n"/>
      <c r="C86" s="126" t="n"/>
      <c r="D86" s="126" t="n"/>
      <c r="E86" s="126" t="n"/>
      <c r="F86" s="126" t="n"/>
      <c r="G86" s="126" t="n"/>
      <c r="H86" s="126" t="n"/>
      <c r="I86" s="126" t="n"/>
      <c r="J86" s="126" t="n"/>
      <c r="K86" s="126" t="n"/>
      <c r="L86" s="126" t="n"/>
      <c r="M86" s="126">
        <f>IF(OR(H86="سري",H86="سري للغاية",H86="مهم"),CONCATENATE("SEC-",TEXT(ROW(),"000"),"-",TEXT(RANDBETWEEN(1000,9999),"0000")),"")</f>
        <v/>
      </c>
    </row>
    <row r="87" ht="14.25" customHeight="1" s="188">
      <c r="B87" s="126" t="n"/>
      <c r="C87" s="126" t="n"/>
      <c r="D87" s="126" t="n"/>
      <c r="E87" s="126" t="n"/>
      <c r="F87" s="126" t="n"/>
      <c r="G87" s="126" t="n"/>
      <c r="H87" s="126" t="n"/>
      <c r="I87" s="126" t="n"/>
      <c r="J87" s="126" t="n"/>
      <c r="K87" s="126" t="n"/>
      <c r="L87" s="126" t="n"/>
      <c r="M87" s="126">
        <f>IF(OR(H87="سري",H87="سري للغاية",H87="مهم"),CONCATENATE("SEC-",TEXT(ROW(),"000"),"-",TEXT(RANDBETWEEN(1000,9999),"0000")),"")</f>
        <v/>
      </c>
    </row>
    <row r="88" ht="14.25" customHeight="1" s="188">
      <c r="B88" s="126" t="n"/>
      <c r="C88" s="126" t="n"/>
      <c r="D88" s="126" t="n"/>
      <c r="E88" s="126" t="n"/>
      <c r="F88" s="126" t="n"/>
      <c r="G88" s="126" t="n"/>
      <c r="H88" s="126" t="n"/>
      <c r="I88" s="126" t="n"/>
      <c r="J88" s="126" t="n"/>
      <c r="K88" s="126" t="n"/>
      <c r="L88" s="126" t="n"/>
      <c r="M88" s="126">
        <f>IF(OR(H88="سري",H88="سري للغاية",H88="مهم"),CONCATENATE("SEC-",TEXT(ROW(),"000"),"-",TEXT(RANDBETWEEN(1000,9999),"0000")),"")</f>
        <v/>
      </c>
    </row>
    <row r="89" ht="14.25" customHeight="1" s="188">
      <c r="B89" s="126" t="n"/>
      <c r="C89" s="126" t="n"/>
      <c r="D89" s="126" t="n"/>
      <c r="E89" s="126" t="n"/>
      <c r="F89" s="126" t="n"/>
      <c r="G89" s="126" t="n"/>
      <c r="H89" s="126" t="n"/>
      <c r="I89" s="126" t="n"/>
      <c r="J89" s="126" t="n"/>
      <c r="K89" s="126" t="n"/>
      <c r="L89" s="126" t="n"/>
      <c r="M89" s="126">
        <f>IF(OR(H89="سري",H89="سري للغاية",H89="مهم"),CONCATENATE("SEC-",TEXT(ROW(),"000"),"-",TEXT(RANDBETWEEN(1000,9999),"0000")),"")</f>
        <v/>
      </c>
    </row>
    <row r="90" ht="14.25" customHeight="1" s="188">
      <c r="B90" s="126" t="n"/>
      <c r="C90" s="126" t="n"/>
      <c r="D90" s="126" t="n"/>
      <c r="E90" s="126" t="n"/>
      <c r="F90" s="126" t="n"/>
      <c r="G90" s="126" t="n"/>
      <c r="H90" s="126" t="n"/>
      <c r="I90" s="126" t="n"/>
      <c r="J90" s="126" t="n"/>
      <c r="K90" s="126" t="n"/>
      <c r="L90" s="126" t="n"/>
      <c r="M90" s="126">
        <f>IF(OR(H90="سري",H90="سري للغاية",H90="مهم"),CONCATENATE("SEC-",TEXT(ROW(),"000"),"-",TEXT(RANDBETWEEN(1000,9999),"0000")),"")</f>
        <v/>
      </c>
    </row>
    <row r="91" ht="14.25" customHeight="1" s="188">
      <c r="B91" s="126" t="n"/>
      <c r="C91" s="126" t="n"/>
      <c r="D91" s="126" t="n"/>
      <c r="E91" s="26" t="n"/>
      <c r="F91" s="126" t="n"/>
      <c r="G91" s="126" t="n"/>
      <c r="H91" s="126" t="n"/>
      <c r="I91" s="126" t="n"/>
      <c r="J91" s="126" t="n"/>
      <c r="K91" s="126" t="n"/>
      <c r="L91" s="126" t="n"/>
      <c r="M91" s="126">
        <f>IF(OR(H91="سري",H91="سري للغاية",H91="مهم"),CONCATENATE("SEC-",TEXT(ROW(),"000"),"-",TEXT(RANDBETWEEN(1000,9999),"0000")),"")</f>
        <v/>
      </c>
    </row>
    <row r="92" ht="14.25" customHeight="1" s="188">
      <c r="B92" s="126" t="n"/>
      <c r="C92" s="126" t="n"/>
      <c r="D92" s="126" t="n"/>
      <c r="E92" s="126" t="n"/>
      <c r="F92" s="126" t="n"/>
      <c r="G92" s="126" t="n"/>
      <c r="H92" s="126" t="n"/>
      <c r="I92" s="126" t="n"/>
      <c r="J92" s="126" t="n"/>
      <c r="K92" s="126" t="n"/>
      <c r="L92" s="126" t="n"/>
      <c r="M92" s="126">
        <f>IF(OR(H92="سري",H92="سري للغاية",H92="مهم"),CONCATENATE("SEC-",TEXT(ROW(),"000"),"-",TEXT(RANDBETWEEN(1000,9999),"0000")),"")</f>
        <v/>
      </c>
    </row>
    <row r="93" ht="14.25" customHeight="1" s="188">
      <c r="B93" s="126" t="n"/>
      <c r="C93" s="126" t="n"/>
      <c r="D93" s="126" t="n"/>
      <c r="E93" s="126" t="n"/>
      <c r="F93" s="126" t="n"/>
      <c r="G93" s="126" t="n"/>
      <c r="H93" s="126" t="n"/>
      <c r="I93" s="126" t="n"/>
      <c r="J93" s="126" t="n"/>
      <c r="K93" s="126" t="n"/>
      <c r="L93" s="126" t="n"/>
      <c r="M93" s="126">
        <f>IF(OR(H93="سري",H93="سري للغاية",H93="مهم"),CONCATENATE("SEC-",TEXT(ROW(),"000"),"-",TEXT(RANDBETWEEN(1000,9999),"0000")),"")</f>
        <v/>
      </c>
    </row>
    <row r="94" ht="14.25" customHeight="1" s="188">
      <c r="B94" s="126" t="n"/>
      <c r="C94" s="126" t="n"/>
      <c r="D94" s="126" t="n"/>
      <c r="E94" s="126" t="n"/>
      <c r="F94" s="126" t="n"/>
      <c r="G94" s="126" t="n"/>
      <c r="H94" s="126" t="n"/>
      <c r="I94" s="126" t="n"/>
      <c r="J94" s="126" t="n"/>
      <c r="K94" s="126" t="n"/>
      <c r="L94" s="126" t="n"/>
      <c r="M94" s="126">
        <f>IF(OR(H94="سري",H94="سري للغاية",H94="مهم"),CONCATENATE("SEC-",TEXT(ROW(),"000"),"-",TEXT(RANDBETWEEN(1000,9999),"0000")),"")</f>
        <v/>
      </c>
    </row>
    <row r="95" ht="14.25" customHeight="1" s="188">
      <c r="B95" s="126" t="n"/>
      <c r="C95" s="126" t="n"/>
      <c r="D95" s="126" t="n"/>
      <c r="E95" s="126" t="n"/>
      <c r="F95" s="126" t="n"/>
      <c r="G95" s="126" t="n"/>
      <c r="H95" s="126" t="n"/>
      <c r="I95" s="126" t="n"/>
      <c r="J95" s="126" t="n"/>
      <c r="K95" s="126" t="n"/>
      <c r="L95" s="126" t="n"/>
      <c r="M95" s="126">
        <f>IF(OR(H95="سري",H95="سري للغاية",H95="مهم"),CONCATENATE("SEC-",TEXT(ROW(),"000"),"-",TEXT(RANDBETWEEN(1000,9999),"0000")),"")</f>
        <v/>
      </c>
    </row>
    <row r="96" ht="14.25" customHeight="1" s="188">
      <c r="B96" s="126" t="n"/>
      <c r="C96" s="126" t="n"/>
      <c r="D96" s="126" t="n"/>
      <c r="E96" s="126" t="n"/>
      <c r="F96" s="126" t="n"/>
      <c r="G96" s="126" t="n"/>
      <c r="H96" s="126" t="n"/>
      <c r="I96" s="126" t="n"/>
      <c r="J96" s="126" t="n"/>
      <c r="K96" s="126" t="n"/>
      <c r="L96" s="126" t="n"/>
      <c r="M96" s="126">
        <f>IF(OR(H96="سري",H96="سري للغاية",H96="مهم"),CONCATENATE("SEC-",TEXT(ROW(),"000"),"-",TEXT(RANDBETWEEN(1000,9999),"0000")),"")</f>
        <v/>
      </c>
    </row>
    <row r="97" ht="14.25" customHeight="1" s="188">
      <c r="B97" s="126" t="n"/>
      <c r="C97" s="126" t="n"/>
      <c r="D97" s="126" t="n"/>
      <c r="E97" s="126" t="n"/>
      <c r="F97" s="126" t="n"/>
      <c r="G97" s="126" t="n"/>
      <c r="H97" s="126" t="n"/>
      <c r="I97" s="126" t="n"/>
      <c r="J97" s="126" t="n"/>
      <c r="K97" s="126" t="n"/>
      <c r="L97" s="126" t="n"/>
      <c r="M97" s="126">
        <f>IF(OR(H97="سري",H97="سري للغاية",H97="مهم"),CONCATENATE("SEC-",TEXT(ROW(),"000"),"-",TEXT(RANDBETWEEN(1000,9999),"0000")),"")</f>
        <v/>
      </c>
    </row>
    <row r="98" ht="14.25" customHeight="1" s="188">
      <c r="B98" s="126" t="n"/>
      <c r="C98" s="126" t="n"/>
      <c r="D98" s="126" t="n"/>
      <c r="E98" s="126" t="n"/>
      <c r="F98" s="126" t="n"/>
      <c r="G98" s="126" t="n"/>
      <c r="H98" s="126" t="n"/>
      <c r="I98" s="126" t="n"/>
      <c r="J98" s="126" t="n"/>
      <c r="K98" s="126" t="n"/>
      <c r="L98" s="126" t="n"/>
      <c r="M98" s="126">
        <f>IF(OR(H98="سري",H98="سري للغاية",H98="مهم"),CONCATENATE("SEC-",TEXT(ROW(),"000"),"-",TEXT(RANDBETWEEN(1000,9999),"0000")),"")</f>
        <v/>
      </c>
    </row>
    <row r="99" ht="14.25" customHeight="1" s="188">
      <c r="B99" s="126" t="n"/>
      <c r="C99" s="126" t="n"/>
      <c r="D99" s="126" t="n"/>
      <c r="E99" s="126" t="n"/>
      <c r="F99" s="126" t="n"/>
      <c r="G99" s="126" t="n"/>
      <c r="H99" s="126" t="n"/>
      <c r="I99" s="126" t="n"/>
      <c r="J99" s="126" t="n"/>
      <c r="K99" s="126" t="n"/>
      <c r="L99" s="126" t="n"/>
      <c r="M99" s="126">
        <f>IF(OR(H99="سري",H99="سري للغاية",H99="مهم"),CONCATENATE("SEC-",TEXT(ROW(),"000"),"-",TEXT(RANDBETWEEN(1000,9999),"0000")),"")</f>
        <v/>
      </c>
    </row>
    <row r="100" ht="14.25" customHeight="1" s="188">
      <c r="B100" s="126" t="n"/>
      <c r="C100" s="126" t="n"/>
      <c r="D100" s="126" t="n"/>
      <c r="E100" s="126" t="n"/>
      <c r="F100" s="126" t="n"/>
      <c r="G100" s="126" t="n"/>
      <c r="H100" s="126" t="n"/>
      <c r="I100" s="126" t="n"/>
      <c r="J100" s="126" t="n"/>
      <c r="K100" s="126" t="n"/>
      <c r="L100" s="126" t="n"/>
      <c r="M100" s="126">
        <f>IF(OR(H100="سري",H100="سري للغاية",H100="مهم"),CONCATENATE("SEC-",TEXT(ROW(),"000"),"-",TEXT(RANDBETWEEN(1000,9999),"0000")),"")</f>
        <v/>
      </c>
    </row>
  </sheetData>
  <autoFilter ref="B6:K100"/>
  <mergeCells count="6">
    <mergeCell ref="A2:L2"/>
    <mergeCell ref="I4:J4"/>
    <mergeCell ref="A4:D4"/>
    <mergeCell ref="A1:L1"/>
    <mergeCell ref="B39:K39"/>
    <mergeCell ref="F4:H4"/>
  </mergeCells>
  <pageMargins left="0.7" right="0.7" top="0.75" bottom="0.75" header="0.3" footer="0.3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rightToLeft="1" topLeftCell="E1" workbookViewId="0">
      <pane ySplit="7" topLeftCell="A8" activePane="bottomLeft" state="frozen"/>
      <selection pane="bottomLeft" activeCell="A5" sqref="A5:J5"/>
    </sheetView>
  </sheetViews>
  <sheetFormatPr baseColWidth="8" defaultColWidth="8.88671875" defaultRowHeight="15" customHeight="1"/>
  <cols>
    <col width="4.33203125" customWidth="1" style="106" min="1" max="1"/>
    <col width="17.109375" customWidth="1" style="106" min="2" max="2"/>
    <col width="21.44140625" customWidth="1" style="106" min="3" max="3"/>
    <col width="17.109375" customWidth="1" style="106" min="4" max="4"/>
    <col width="50" customWidth="1" style="106" min="5" max="5"/>
    <col width="17.109375" customWidth="1" style="106" min="6" max="7"/>
    <col width="50" customWidth="1" style="106" min="8" max="8"/>
    <col width="17.109375" customWidth="1" style="106" min="9" max="9"/>
    <col width="35.6640625" customWidth="1" style="106" min="10" max="10"/>
    <col width="4.33203125" customWidth="1" style="106" min="11" max="11"/>
  </cols>
  <sheetData>
    <row r="1" ht="30" customHeight="1" s="188">
      <c r="A1" s="128" t="inlineStr">
        <is>
          <t>📚 قسم شؤون الطلاب</t>
        </is>
      </c>
    </row>
    <row r="2" ht="21" customHeight="1" s="188">
      <c r="A2" s="130" t="inlineStr">
        <is>
          <t>سجل المستندات والوثائق الخاصة بشؤون الطلاب</t>
        </is>
      </c>
    </row>
    <row r="3" ht="6" customHeight="1" s="188"/>
    <row r="4" ht="15" customHeight="1" s="188">
      <c r="A4" s="132" t="inlineStr">
        <is>
          <t>🔙 العودة</t>
        </is>
      </c>
      <c r="E4" s="127" t="inlineStr">
        <is>
          <t>عدد المستندات:</t>
        </is>
      </c>
      <c r="H4" s="131">
        <f>COUNTA(B7:B100)-1</f>
        <v/>
      </c>
    </row>
    <row r="5" ht="6" customHeight="1" s="188">
      <c r="A5" s="129" t="n"/>
    </row>
    <row r="6" ht="24" customHeight="1" s="188">
      <c r="B6" s="27" t="inlineStr">
        <is>
          <t>رقم المستند</t>
        </is>
      </c>
      <c r="C6" s="27" t="inlineStr">
        <is>
          <t>نوع المستند</t>
        </is>
      </c>
      <c r="D6" s="27" t="inlineStr">
        <is>
          <t>التاريخ</t>
        </is>
      </c>
      <c r="E6" s="27" t="inlineStr">
        <is>
          <t>الموضوع</t>
        </is>
      </c>
      <c r="F6" s="27" t="inlineStr">
        <is>
          <t>الحالة</t>
        </is>
      </c>
      <c r="G6" s="27" t="inlineStr">
        <is>
          <t>مستوى السرية</t>
        </is>
      </c>
      <c r="H6" s="27" t="inlineStr">
        <is>
          <t>الرابط الإلكتروني</t>
        </is>
      </c>
      <c r="I6" s="27" t="inlineStr">
        <is>
          <t>صادر/وارد</t>
        </is>
      </c>
      <c r="J6" s="27" t="inlineStr">
        <is>
          <t>ملاحظات</t>
        </is>
      </c>
    </row>
    <row r="7" ht="15" customHeight="1" s="188">
      <c r="B7" s="28" t="n"/>
      <c r="C7" s="28" t="n"/>
      <c r="D7" s="29" t="n"/>
      <c r="E7" s="28" t="n"/>
      <c r="F7" s="30" t="n"/>
      <c r="G7" s="30" t="n"/>
      <c r="H7" s="31" t="n"/>
      <c r="I7" s="28" t="n"/>
      <c r="J7" s="28" t="n"/>
    </row>
    <row r="8" ht="15" customHeight="1" s="188">
      <c r="B8" s="28" t="n"/>
      <c r="C8" s="28" t="n"/>
      <c r="D8" s="29" t="n"/>
      <c r="E8" s="28" t="n"/>
      <c r="F8" s="30" t="n"/>
      <c r="G8" s="30" t="n"/>
      <c r="H8" s="31" t="n"/>
      <c r="I8" s="28" t="n"/>
      <c r="J8" s="28" t="n"/>
    </row>
    <row r="9" ht="15" customHeight="1" s="188">
      <c r="B9" s="32" t="n"/>
      <c r="C9" s="32" t="n"/>
      <c r="D9" s="33" t="n"/>
      <c r="E9" s="32" t="n"/>
      <c r="F9" s="30" t="n"/>
      <c r="G9" s="30" t="n"/>
      <c r="H9" s="34" t="n"/>
      <c r="I9" s="32" t="n"/>
      <c r="J9" s="32" t="n"/>
    </row>
    <row r="10" ht="15" customHeight="1" s="188">
      <c r="B10" s="35" t="n"/>
      <c r="C10" s="35" t="n"/>
      <c r="D10" s="35" t="n"/>
      <c r="E10" s="35" t="n"/>
      <c r="F10" s="30" t="n"/>
      <c r="G10" s="30" t="n"/>
      <c r="H10" s="36" t="n"/>
      <c r="I10" s="35" t="n"/>
      <c r="J10" s="35" t="n"/>
    </row>
    <row r="11" ht="15" customHeight="1" s="188">
      <c r="B11" s="32" t="n"/>
      <c r="C11" s="32" t="n"/>
      <c r="D11" s="32" t="n"/>
      <c r="E11" s="32" t="n"/>
      <c r="F11" s="30" t="n"/>
      <c r="G11" s="30" t="n"/>
      <c r="H11" s="34" t="n"/>
      <c r="I11" s="32" t="n"/>
      <c r="J11" s="32" t="n"/>
    </row>
    <row r="12" ht="15" customHeight="1" s="188">
      <c r="B12" s="28" t="n"/>
      <c r="C12" s="28" t="n"/>
      <c r="D12" s="28" t="n"/>
      <c r="E12" s="28" t="n"/>
      <c r="F12" s="30" t="n"/>
      <c r="G12" s="30" t="n"/>
      <c r="H12" s="31" t="n"/>
      <c r="I12" s="28" t="n"/>
      <c r="J12" s="28" t="n"/>
    </row>
    <row r="13" ht="15" customHeight="1" s="188">
      <c r="B13" s="32" t="n"/>
      <c r="C13" s="32" t="n"/>
      <c r="D13" s="32" t="n"/>
      <c r="E13" s="32" t="n"/>
      <c r="F13" s="30" t="n"/>
      <c r="G13" s="30" t="n"/>
      <c r="H13" s="34" t="n"/>
      <c r="I13" s="32" t="n"/>
      <c r="J13" s="32" t="n"/>
    </row>
    <row r="14" ht="15" customHeight="1" s="188">
      <c r="B14" s="37" t="n"/>
      <c r="C14" s="37" t="n"/>
      <c r="D14" s="38" t="n"/>
      <c r="E14" s="37" t="n"/>
      <c r="F14" s="37" t="n"/>
      <c r="G14" s="37" t="n"/>
      <c r="H14" s="37" t="n"/>
      <c r="I14" s="37" t="n"/>
      <c r="J14" s="37" t="n"/>
    </row>
  </sheetData>
  <mergeCells count="6">
    <mergeCell ref="A5:J5"/>
    <mergeCell ref="A2:K2"/>
    <mergeCell ref="E4:G4"/>
    <mergeCell ref="H4:I4"/>
    <mergeCell ref="A4:C4"/>
    <mergeCell ref="A1:K1"/>
  </mergeCells>
  <pageMargins left="0.7" right="0.7" top="0.75" bottom="0.75" header="0.3" footer="0.3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rightToLeft="1" topLeftCell="B1" workbookViewId="0">
      <pane ySplit="7" topLeftCell="A8" activePane="bottomLeft" state="frozen"/>
      <selection pane="bottomLeft" activeCell="D19" sqref="D19"/>
    </sheetView>
  </sheetViews>
  <sheetFormatPr baseColWidth="8" defaultColWidth="8.88671875" defaultRowHeight="15" customHeight="1"/>
  <cols>
    <col width="4.33203125" customWidth="1" style="106" min="1" max="1"/>
    <col width="17.109375" customWidth="1" style="106" min="2" max="2"/>
    <col width="21.44140625" customWidth="1" style="106" min="3" max="3"/>
    <col width="17.109375" customWidth="1" style="106" min="4" max="4"/>
    <col width="50" customWidth="1" style="106" min="5" max="5"/>
    <col width="17.109375" customWidth="1" style="106" min="6" max="7"/>
    <col width="50" customWidth="1" style="106" min="8" max="8"/>
    <col width="17.109375" customWidth="1" style="106" min="9" max="9"/>
    <col width="35.6640625" customWidth="1" style="106" min="10" max="10"/>
    <col width="4.33203125" customWidth="1" style="106" min="11" max="11"/>
  </cols>
  <sheetData>
    <row r="1" ht="30" customHeight="1" s="188">
      <c r="A1" s="134" t="inlineStr">
        <is>
          <t>💰 قسم التحصيل المالي</t>
        </is>
      </c>
    </row>
    <row r="2" ht="21" customHeight="1" s="188">
      <c r="A2" s="133" t="inlineStr">
        <is>
          <t>سجل المستندات والوثائق الخاصة بالتحصيل المالي</t>
        </is>
      </c>
    </row>
    <row r="3" ht="6" customHeight="1" s="188"/>
    <row r="4" ht="15" customHeight="1" s="188">
      <c r="A4" s="132" t="inlineStr">
        <is>
          <t>🔙 العودة</t>
        </is>
      </c>
      <c r="E4" s="127" t="inlineStr">
        <is>
          <t>عدد المستندات:</t>
        </is>
      </c>
      <c r="H4" s="131">
        <f>COUNTA(B7:B100)-1</f>
        <v/>
      </c>
    </row>
    <row r="5" ht="6" customHeight="1" s="188"/>
    <row r="6" ht="24" customHeight="1" s="188">
      <c r="B6" s="27" t="inlineStr">
        <is>
          <t>رقم المستند</t>
        </is>
      </c>
      <c r="C6" s="27" t="inlineStr">
        <is>
          <t>نوع المستند</t>
        </is>
      </c>
      <c r="D6" s="27" t="inlineStr">
        <is>
          <t>التاريخ</t>
        </is>
      </c>
      <c r="E6" s="27" t="inlineStr">
        <is>
          <t>الموضوع</t>
        </is>
      </c>
      <c r="F6" s="27" t="inlineStr">
        <is>
          <t>الحالة</t>
        </is>
      </c>
      <c r="G6" s="27" t="inlineStr">
        <is>
          <t>مستوى السرية</t>
        </is>
      </c>
      <c r="H6" s="27" t="inlineStr">
        <is>
          <t>الرابط الإلكتروني</t>
        </is>
      </c>
      <c r="I6" s="27" t="inlineStr">
        <is>
          <t>صادر/وارد</t>
        </is>
      </c>
      <c r="J6" s="27" t="inlineStr">
        <is>
          <t>ملاحظات</t>
        </is>
      </c>
    </row>
    <row r="7" ht="15" customHeight="1" s="188">
      <c r="B7" s="32" t="n"/>
      <c r="C7" s="32" t="n"/>
      <c r="D7" s="33" t="n"/>
      <c r="E7" s="32" t="n"/>
      <c r="F7" s="30" t="n"/>
      <c r="G7" s="30" t="n"/>
      <c r="H7" s="34" t="n"/>
      <c r="I7" s="32" t="n"/>
      <c r="J7" s="32" t="n"/>
    </row>
    <row r="8" ht="15" customHeight="1" s="188">
      <c r="B8" s="39" t="n"/>
      <c r="C8" s="39" t="n"/>
      <c r="D8" s="39" t="n"/>
      <c r="E8" s="39" t="n"/>
      <c r="F8" s="30" t="n"/>
      <c r="G8" s="30" t="n"/>
      <c r="H8" s="40" t="n"/>
      <c r="I8" s="39" t="n"/>
      <c r="J8" s="39" t="n"/>
    </row>
    <row r="9" ht="15" customHeight="1" s="188">
      <c r="B9" s="32" t="n"/>
      <c r="C9" s="32" t="n"/>
      <c r="D9" s="32" t="n"/>
      <c r="E9" s="32" t="n"/>
      <c r="F9" s="30" t="n"/>
      <c r="G9" s="30" t="n"/>
      <c r="H9" s="34" t="n"/>
      <c r="I9" s="32" t="n"/>
      <c r="J9" s="32" t="n"/>
    </row>
    <row r="10" ht="15" customHeight="1" s="188">
      <c r="B10" s="39" t="n"/>
      <c r="C10" s="39" t="n"/>
      <c r="D10" s="39" t="n"/>
      <c r="E10" s="39" t="n"/>
      <c r="F10" s="30" t="n"/>
      <c r="G10" s="30" t="n"/>
      <c r="H10" s="40" t="n"/>
      <c r="I10" s="39" t="n"/>
      <c r="J10" s="39" t="n"/>
    </row>
    <row r="11" ht="15" customHeight="1" s="188">
      <c r="B11" s="32" t="n"/>
      <c r="C11" s="32" t="n"/>
      <c r="D11" s="32" t="n"/>
      <c r="E11" s="32" t="n"/>
      <c r="F11" s="30" t="n"/>
      <c r="G11" s="30" t="n"/>
      <c r="H11" s="34" t="n"/>
      <c r="I11" s="32" t="n"/>
      <c r="J11" s="32" t="n"/>
    </row>
  </sheetData>
  <mergeCells count="5">
    <mergeCell ref="A2:K2"/>
    <mergeCell ref="E4:G4"/>
    <mergeCell ref="H4:I4"/>
    <mergeCell ref="A4:C4"/>
    <mergeCell ref="A1:K1"/>
  </mergeCells>
  <pageMargins left="0.7" right="0.7" top="0.75" bottom="0.75" header="0.3" footer="0.3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rightToLeft="1" workbookViewId="0">
      <pane ySplit="7" topLeftCell="A8" activePane="bottomLeft" state="frozen"/>
      <selection pane="bottomLeft" activeCell="B7" sqref="B7"/>
    </sheetView>
  </sheetViews>
  <sheetFormatPr baseColWidth="8" defaultColWidth="8.88671875" defaultRowHeight="15" customHeight="1"/>
  <cols>
    <col width="4.33203125" customWidth="1" style="106" min="1" max="1"/>
    <col width="17.109375" customWidth="1" style="106" min="2" max="2"/>
    <col width="21.44140625" customWidth="1" style="106" min="3" max="3"/>
    <col width="17.109375" customWidth="1" style="106" min="4" max="4"/>
    <col width="50" customWidth="1" style="106" min="5" max="5"/>
    <col width="17.109375" customWidth="1" style="106" min="6" max="7"/>
    <col width="50" customWidth="1" style="106" min="8" max="8"/>
    <col width="17.109375" customWidth="1" style="106" min="9" max="9"/>
    <col width="35.6640625" customWidth="1" style="106" min="10" max="10"/>
    <col width="4.33203125" customWidth="1" style="106" min="11" max="11"/>
  </cols>
  <sheetData>
    <row r="1" ht="30" customHeight="1" s="188">
      <c r="A1" s="136" t="inlineStr">
        <is>
          <t>🏦 قسم الشؤون المالية</t>
        </is>
      </c>
    </row>
    <row r="2" ht="21" customHeight="1" s="188">
      <c r="A2" s="135" t="inlineStr">
        <is>
          <t>سجل المستندات والوثائق الخاصة بالشؤون المالية</t>
        </is>
      </c>
    </row>
    <row r="3" ht="6" customHeight="1" s="188"/>
    <row r="4" ht="15" customHeight="1" s="188">
      <c r="A4" s="132" t="inlineStr">
        <is>
          <t>🔙 العودة</t>
        </is>
      </c>
      <c r="E4" s="127" t="inlineStr">
        <is>
          <t>عدد المستندات:</t>
        </is>
      </c>
      <c r="H4" s="131">
        <f>COUNTA(B7:B100)-1</f>
        <v/>
      </c>
    </row>
    <row r="5" ht="6" customHeight="1" s="188"/>
    <row r="6" ht="24" customHeight="1" s="188">
      <c r="B6" s="27" t="inlineStr">
        <is>
          <t>رقم المستند</t>
        </is>
      </c>
      <c r="C6" s="27" t="inlineStr">
        <is>
          <t>نوع المستند</t>
        </is>
      </c>
      <c r="D6" s="27" t="inlineStr">
        <is>
          <t>التاريخ</t>
        </is>
      </c>
      <c r="E6" s="27" t="inlineStr">
        <is>
          <t>الموضوع</t>
        </is>
      </c>
      <c r="F6" s="27" t="inlineStr">
        <is>
          <t>الحالة</t>
        </is>
      </c>
      <c r="G6" s="27" t="inlineStr">
        <is>
          <t>مستوى السرية</t>
        </is>
      </c>
      <c r="H6" s="27" t="inlineStr">
        <is>
          <t>الرابط الإلكتروني</t>
        </is>
      </c>
      <c r="I6" s="27" t="inlineStr">
        <is>
          <t>صادر/وارد</t>
        </is>
      </c>
      <c r="J6" s="27" t="inlineStr">
        <is>
          <t>ملاحظات</t>
        </is>
      </c>
    </row>
    <row r="7" ht="15" customHeight="1" s="188">
      <c r="B7" s="32" t="n"/>
      <c r="C7" s="32" t="n"/>
      <c r="D7" s="32" t="n"/>
      <c r="E7" s="32" t="n"/>
      <c r="F7" s="41" t="n"/>
      <c r="G7" s="42" t="n"/>
      <c r="H7" s="34" t="n"/>
      <c r="I7" s="32" t="n"/>
      <c r="J7" s="32" t="n"/>
    </row>
    <row r="8" ht="15" customHeight="1" s="188">
      <c r="B8" s="43" t="n"/>
      <c r="C8" s="43" t="n"/>
      <c r="D8" s="43" t="n"/>
      <c r="E8" s="43" t="n"/>
      <c r="F8" s="44" t="n"/>
      <c r="G8" s="45" t="n"/>
      <c r="H8" s="46" t="n"/>
      <c r="I8" s="43" t="n"/>
      <c r="J8" s="43" t="n"/>
    </row>
    <row r="9" ht="15" customHeight="1" s="188">
      <c r="B9" s="28" t="n"/>
      <c r="C9" s="28" t="n"/>
      <c r="D9" s="28" t="n"/>
      <c r="E9" s="28" t="n"/>
      <c r="F9" s="30" t="n"/>
      <c r="G9" s="30" t="n"/>
      <c r="H9" s="47" t="n"/>
      <c r="I9" s="28" t="n"/>
      <c r="J9" s="28" t="n"/>
    </row>
    <row r="10" ht="15" customHeight="1" s="188">
      <c r="B10" s="28" t="n"/>
      <c r="C10" s="28" t="n"/>
      <c r="D10" s="28" t="n"/>
      <c r="E10" s="28" t="n"/>
      <c r="F10" s="30" t="n"/>
      <c r="G10" s="30" t="n"/>
      <c r="H10" s="47" t="n"/>
      <c r="I10" s="28" t="n"/>
      <c r="J10" s="28" t="n"/>
    </row>
    <row r="11" ht="15" customHeight="1" s="188">
      <c r="B11" s="28" t="n"/>
      <c r="C11" s="28" t="n"/>
      <c r="D11" s="28" t="n"/>
      <c r="E11" s="28" t="n"/>
      <c r="F11" s="30" t="n"/>
      <c r="G11" s="30" t="n"/>
      <c r="H11" s="47" t="n"/>
      <c r="I11" s="28" t="n"/>
      <c r="J11" s="28" t="n"/>
    </row>
    <row r="12" ht="15" customHeight="1" s="188">
      <c r="B12" s="28" t="n"/>
      <c r="C12" s="28" t="n"/>
      <c r="D12" s="28" t="n"/>
      <c r="E12" s="28" t="n"/>
      <c r="F12" s="30" t="n"/>
      <c r="G12" s="30" t="n"/>
      <c r="H12" s="47" t="n"/>
      <c r="I12" s="28" t="n"/>
      <c r="J12" s="28" t="n"/>
    </row>
    <row r="13" ht="15" customHeight="1" s="188">
      <c r="B13" s="28" t="n"/>
      <c r="C13" s="28" t="n"/>
      <c r="D13" s="28" t="n"/>
      <c r="E13" s="28" t="n"/>
      <c r="F13" s="30" t="n"/>
      <c r="G13" s="30" t="n"/>
      <c r="H13" s="47" t="n"/>
      <c r="I13" s="28" t="n"/>
      <c r="J13" s="28" t="n"/>
    </row>
    <row r="14" ht="15" customHeight="1" s="188">
      <c r="B14" s="28" t="n"/>
      <c r="C14" s="28" t="n"/>
      <c r="D14" s="28" t="n"/>
      <c r="E14" s="28" t="n"/>
      <c r="F14" s="30" t="n"/>
      <c r="G14" s="30" t="n"/>
      <c r="H14" s="47" t="n"/>
      <c r="I14" s="28" t="n"/>
      <c r="J14" s="28" t="n"/>
    </row>
  </sheetData>
  <mergeCells count="5">
    <mergeCell ref="A2:K2"/>
    <mergeCell ref="E4:G4"/>
    <mergeCell ref="H4:I4"/>
    <mergeCell ref="A4:C4"/>
    <mergeCell ref="A1:K1"/>
  </mergeCells>
  <pageMargins left="0.7" right="0.7" top="0.75" bottom="0.75" header="0.3" footer="0.3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rightToLeft="1" workbookViewId="0">
      <pane ySplit="7" topLeftCell="A8" activePane="bottomLeft" state="frozen"/>
      <selection pane="bottomLeft" activeCell="B7" sqref="B7"/>
    </sheetView>
  </sheetViews>
  <sheetFormatPr baseColWidth="8" defaultColWidth="8.88671875" defaultRowHeight="15" customHeight="1"/>
  <cols>
    <col width="4.33203125" customWidth="1" style="106" min="1" max="1"/>
    <col width="17.109375" customWidth="1" style="106" min="2" max="2"/>
    <col width="21.44140625" customWidth="1" style="106" min="3" max="3"/>
    <col width="17.109375" customWidth="1" style="106" min="4" max="4"/>
    <col width="50" customWidth="1" style="106" min="5" max="5"/>
    <col width="17.109375" customWidth="1" style="106" min="6" max="7"/>
    <col width="50" customWidth="1" style="106" min="8" max="8"/>
    <col width="17.109375" customWidth="1" style="106" min="9" max="9"/>
    <col width="35.6640625" customWidth="1" style="106" min="10" max="10"/>
    <col width="4.33203125" customWidth="1" style="106" min="11" max="11"/>
  </cols>
  <sheetData>
    <row r="1" ht="30" customHeight="1" s="188">
      <c r="A1" s="138" t="inlineStr">
        <is>
          <t>🎓 قسم الإدارة الأكاديمية</t>
        </is>
      </c>
    </row>
    <row r="2" ht="21" customHeight="1" s="188">
      <c r="A2" s="137" t="inlineStr">
        <is>
          <t>سجل المستندات والوثائق الخاصة بالإدارة الأكاديمية</t>
        </is>
      </c>
    </row>
    <row r="3" ht="6" customHeight="1" s="188"/>
    <row r="4" ht="15" customHeight="1" s="188">
      <c r="A4" s="132" t="inlineStr">
        <is>
          <t>🔙 العودة</t>
        </is>
      </c>
      <c r="E4" s="127" t="inlineStr">
        <is>
          <t>عدد المستندات:</t>
        </is>
      </c>
      <c r="H4" s="131">
        <f>COUNTA(B7:B100)-1</f>
        <v/>
      </c>
    </row>
    <row r="5" ht="6" customHeight="1" s="188"/>
    <row r="6" ht="24" customHeight="1" s="188">
      <c r="B6" s="27" t="inlineStr">
        <is>
          <t>رقم المستند</t>
        </is>
      </c>
      <c r="C6" s="27" t="inlineStr">
        <is>
          <t>نوع المستند</t>
        </is>
      </c>
      <c r="D6" s="27" t="inlineStr">
        <is>
          <t>التاريخ</t>
        </is>
      </c>
      <c r="E6" s="27" t="inlineStr">
        <is>
          <t>الموضوع</t>
        </is>
      </c>
      <c r="F6" s="27" t="inlineStr">
        <is>
          <t>الحالة</t>
        </is>
      </c>
      <c r="G6" s="27" t="inlineStr">
        <is>
          <t>مستوى السرية</t>
        </is>
      </c>
      <c r="H6" s="27" t="inlineStr">
        <is>
          <t>الرابط الإلكتروني</t>
        </is>
      </c>
      <c r="I6" s="27" t="inlineStr">
        <is>
          <t>صادر/وارد</t>
        </is>
      </c>
      <c r="J6" s="27" t="inlineStr">
        <is>
          <t>ملاحظات</t>
        </is>
      </c>
    </row>
    <row r="7" ht="15" customHeight="1" s="188">
      <c r="B7" s="32" t="n"/>
      <c r="C7" s="32" t="n"/>
      <c r="D7" s="32" t="n"/>
      <c r="E7" s="32" t="n"/>
      <c r="F7" s="48" t="n"/>
      <c r="G7" s="48" t="n"/>
      <c r="H7" s="34" t="n"/>
      <c r="I7" s="32" t="n"/>
      <c r="J7" s="32" t="n"/>
    </row>
    <row r="8" ht="15" customHeight="1" s="188">
      <c r="B8" s="49" t="n"/>
      <c r="C8" s="49" t="n"/>
      <c r="D8" s="49" t="n"/>
      <c r="E8" s="49" t="n"/>
      <c r="F8" s="48" t="n"/>
      <c r="G8" s="48" t="n"/>
      <c r="H8" s="50" t="n"/>
      <c r="I8" s="49" t="n"/>
      <c r="J8" s="49" t="n"/>
    </row>
    <row r="9" ht="15" customHeight="1" s="188">
      <c r="B9" s="28" t="n"/>
      <c r="C9" s="28" t="n"/>
      <c r="D9" s="28" t="n"/>
      <c r="E9" s="28" t="n"/>
      <c r="F9" s="30" t="n"/>
      <c r="G9" s="30" t="n"/>
      <c r="H9" s="47" t="n"/>
      <c r="I9" s="28" t="n"/>
      <c r="J9" s="28" t="n"/>
    </row>
    <row r="10" ht="15" customHeight="1" s="188">
      <c r="B10" s="28" t="n"/>
      <c r="C10" s="28" t="n"/>
      <c r="D10" s="28" t="n"/>
      <c r="E10" s="28" t="n"/>
      <c r="F10" s="30" t="n"/>
      <c r="G10" s="30" t="n"/>
      <c r="H10" s="47" t="n"/>
      <c r="I10" s="28" t="n"/>
      <c r="J10" s="28" t="n"/>
    </row>
    <row r="11" ht="15" customHeight="1" s="188">
      <c r="B11" s="28" t="n"/>
      <c r="C11" s="28" t="n"/>
      <c r="D11" s="28" t="n"/>
      <c r="E11" s="28" t="n"/>
      <c r="F11" s="30" t="n"/>
      <c r="G11" s="30" t="n"/>
      <c r="H11" s="47" t="n"/>
      <c r="I11" s="28" t="n"/>
      <c r="J11" s="28" t="n"/>
    </row>
    <row r="12" ht="15" customHeight="1" s="188">
      <c r="B12" s="28" t="n"/>
      <c r="C12" s="28" t="n"/>
      <c r="D12" s="28" t="n"/>
      <c r="E12" s="28" t="n"/>
      <c r="F12" s="30" t="n"/>
      <c r="G12" s="30" t="n"/>
      <c r="H12" s="47" t="n"/>
      <c r="I12" s="28" t="n"/>
      <c r="J12" s="28" t="n"/>
    </row>
    <row r="13" ht="15" customHeight="1" s="188">
      <c r="B13" s="28" t="n"/>
      <c r="C13" s="28" t="n"/>
      <c r="D13" s="28" t="n"/>
      <c r="E13" s="28" t="n"/>
      <c r="F13" s="30" t="n"/>
      <c r="G13" s="30" t="n"/>
      <c r="H13" s="47" t="n"/>
      <c r="I13" s="28" t="n"/>
      <c r="J13" s="28" t="n"/>
    </row>
    <row r="14" ht="15" customHeight="1" s="188">
      <c r="B14" s="28" t="n"/>
      <c r="C14" s="28" t="n"/>
      <c r="D14" s="28" t="n"/>
      <c r="E14" s="28" t="n"/>
      <c r="F14" s="30" t="n"/>
      <c r="G14" s="30" t="n"/>
      <c r="H14" s="47" t="n"/>
      <c r="I14" s="28" t="n"/>
      <c r="J14" s="28" t="n"/>
    </row>
    <row r="15" ht="15" customHeight="1" s="188">
      <c r="B15" s="28" t="n"/>
      <c r="C15" s="28" t="n"/>
      <c r="D15" s="28" t="n"/>
      <c r="E15" s="28" t="n"/>
      <c r="F15" s="30" t="n"/>
      <c r="G15" s="30" t="n"/>
      <c r="H15" s="47" t="n"/>
      <c r="I15" s="28" t="n"/>
      <c r="J15" s="28" t="n"/>
    </row>
    <row r="16" ht="15" customHeight="1" s="188">
      <c r="B16" s="28" t="n"/>
      <c r="C16" s="28" t="n"/>
      <c r="D16" s="28" t="n"/>
      <c r="E16" s="28" t="n"/>
      <c r="F16" s="30" t="n"/>
      <c r="G16" s="30" t="n"/>
      <c r="H16" s="47" t="n"/>
      <c r="I16" s="28" t="n"/>
      <c r="J16" s="28" t="n"/>
    </row>
  </sheetData>
  <mergeCells count="5">
    <mergeCell ref="A2:K2"/>
    <mergeCell ref="E4:G4"/>
    <mergeCell ref="H4:I4"/>
    <mergeCell ref="A4:C4"/>
    <mergeCell ref="A1:K1"/>
  </mergeCells>
  <pageMargins left="0.7" right="0.7" top="0.75" bottom="0.75" header="0.3" footer="0.3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rightToLeft="1" workbookViewId="0">
      <pane ySplit="7" topLeftCell="A8" activePane="bottomLeft" state="frozen"/>
      <selection pane="bottomLeft" activeCell="B7" sqref="B7"/>
    </sheetView>
  </sheetViews>
  <sheetFormatPr baseColWidth="8" defaultColWidth="8.88671875" defaultRowHeight="15" customHeight="1"/>
  <cols>
    <col width="4.33203125" customWidth="1" style="106" min="1" max="1"/>
    <col width="17.109375" customWidth="1" style="106" min="2" max="2"/>
    <col width="21.44140625" customWidth="1" style="106" min="3" max="3"/>
    <col width="17.109375" customWidth="1" style="106" min="4" max="4"/>
    <col width="50" customWidth="1" style="106" min="5" max="5"/>
    <col width="17.109375" customWidth="1" style="106" min="6" max="7"/>
    <col width="50" customWidth="1" style="106" min="8" max="8"/>
    <col width="17.109375" customWidth="1" style="106" min="9" max="9"/>
    <col width="35.6640625" customWidth="1" style="106" min="10" max="10"/>
    <col width="4.33203125" customWidth="1" style="106" min="11" max="11"/>
  </cols>
  <sheetData>
    <row r="1" ht="30" customHeight="1" s="188">
      <c r="A1" s="140" t="inlineStr">
        <is>
          <t>⭐ قسم إدارة الجودة</t>
        </is>
      </c>
    </row>
    <row r="2" ht="21" customHeight="1" s="188">
      <c r="A2" s="139" t="inlineStr">
        <is>
          <t>سجل المستندات والوثائق الخاصة بإدارة الجودة</t>
        </is>
      </c>
    </row>
    <row r="3" ht="6" customHeight="1" s="188"/>
    <row r="4" ht="15" customHeight="1" s="188">
      <c r="A4" s="132" t="inlineStr">
        <is>
          <t>🔙 العودة</t>
        </is>
      </c>
      <c r="E4" s="127" t="inlineStr">
        <is>
          <t>عدد المستندات:</t>
        </is>
      </c>
      <c r="H4" s="131">
        <f>COUNTA(B7:B100)-1</f>
        <v/>
      </c>
    </row>
    <row r="5" ht="6" customHeight="1" s="188"/>
    <row r="6" ht="24" customHeight="1" s="188">
      <c r="B6" s="27" t="inlineStr">
        <is>
          <t>رقم المستند</t>
        </is>
      </c>
      <c r="C6" s="27" t="inlineStr">
        <is>
          <t>نوع المستند</t>
        </is>
      </c>
      <c r="D6" s="27" t="inlineStr">
        <is>
          <t>التاريخ</t>
        </is>
      </c>
      <c r="E6" s="27" t="inlineStr">
        <is>
          <t>الموضوع</t>
        </is>
      </c>
      <c r="F6" s="27" t="inlineStr">
        <is>
          <t>الحالة</t>
        </is>
      </c>
      <c r="G6" s="27" t="inlineStr">
        <is>
          <t>مستوى السرية</t>
        </is>
      </c>
      <c r="H6" s="27" t="inlineStr">
        <is>
          <t>الرابط الإلكتروني</t>
        </is>
      </c>
      <c r="I6" s="27" t="inlineStr">
        <is>
          <t>صادر/وارد</t>
        </is>
      </c>
      <c r="J6" s="27" t="inlineStr">
        <is>
          <t>ملاحظات</t>
        </is>
      </c>
    </row>
    <row r="7" ht="15" customHeight="1" s="188">
      <c r="B7" s="32" t="n"/>
      <c r="C7" s="32" t="n"/>
      <c r="D7" s="32" t="n"/>
      <c r="E7" s="32" t="n"/>
      <c r="F7" s="41" t="n"/>
      <c r="G7" s="45" t="n"/>
      <c r="H7" s="34" t="n"/>
      <c r="I7" s="32" t="n"/>
      <c r="J7" s="32" t="n"/>
    </row>
    <row r="8" ht="15" customHeight="1" s="188">
      <c r="B8" s="51" t="n"/>
      <c r="C8" s="51" t="n"/>
      <c r="D8" s="51" t="n"/>
      <c r="E8" s="51" t="n"/>
      <c r="F8" s="30" t="n"/>
      <c r="G8" s="30" t="n"/>
      <c r="H8" s="52" t="n"/>
      <c r="I8" s="51" t="n"/>
      <c r="J8" s="51" t="n"/>
    </row>
    <row r="9" ht="15" customHeight="1" s="188">
      <c r="B9" s="32" t="n"/>
      <c r="C9" s="32" t="n"/>
      <c r="D9" s="32" t="n"/>
      <c r="E9" s="32" t="n"/>
      <c r="F9" s="30" t="n"/>
      <c r="G9" s="30" t="n"/>
      <c r="H9" s="34" t="n"/>
      <c r="I9" s="32" t="n"/>
      <c r="J9" s="32" t="n"/>
    </row>
    <row r="10" ht="15" customHeight="1" s="188">
      <c r="B10" s="51" t="n"/>
      <c r="C10" s="51" t="n"/>
      <c r="D10" s="51" t="n"/>
      <c r="E10" s="51" t="n"/>
      <c r="F10" s="30" t="n"/>
      <c r="G10" s="30" t="n"/>
      <c r="H10" s="52" t="n"/>
      <c r="I10" s="51" t="n"/>
      <c r="J10" s="51" t="n"/>
    </row>
    <row r="11" ht="15" customHeight="1" s="188">
      <c r="B11" s="32" t="n"/>
      <c r="C11" s="32" t="n"/>
      <c r="D11" s="32" t="n"/>
      <c r="E11" s="32" t="n"/>
      <c r="F11" s="30" t="n"/>
      <c r="G11" s="30" t="n"/>
      <c r="H11" s="34" t="n"/>
      <c r="I11" s="32" t="n"/>
      <c r="J11" s="32" t="n"/>
    </row>
    <row r="12" ht="15" customHeight="1" s="188">
      <c r="B12" s="51" t="n"/>
      <c r="C12" s="51" t="n"/>
      <c r="D12" s="51" t="n"/>
      <c r="E12" s="51" t="n"/>
      <c r="F12" s="30" t="n"/>
      <c r="G12" s="30" t="n"/>
      <c r="H12" s="52" t="n"/>
      <c r="I12" s="51" t="n"/>
      <c r="J12" s="51" t="n"/>
    </row>
  </sheetData>
  <mergeCells count="5">
    <mergeCell ref="A2:K2"/>
    <mergeCell ref="E4:G4"/>
    <mergeCell ref="H4:I4"/>
    <mergeCell ref="A4:C4"/>
    <mergeCell ref="A1:K1"/>
  </mergeCells>
  <pageMargins left="0.7" right="0.7" top="0.75" bottom="0.75" header="0.3" footer="0.3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rightToLeft="1" tabSelected="1" topLeftCell="E1" workbookViewId="0">
      <pane ySplit="7" topLeftCell="A8" activePane="bottomLeft" state="frozen"/>
      <selection pane="bottomLeft" activeCell="I22" sqref="I22"/>
    </sheetView>
  </sheetViews>
  <sheetFormatPr baseColWidth="8" defaultColWidth="8.88671875" defaultRowHeight="15" customHeight="1"/>
  <cols>
    <col width="4.33203125" customWidth="1" style="106" min="1" max="1"/>
    <col width="17.109375" customWidth="1" style="106" min="2" max="2"/>
    <col width="21.44140625" customWidth="1" style="106" min="3" max="3"/>
    <col width="17.109375" customWidth="1" style="106" min="4" max="4"/>
    <col width="50" customWidth="1" style="106" min="5" max="5"/>
    <col width="17.109375" customWidth="1" style="106" min="6" max="7"/>
    <col width="50" customWidth="1" style="106" min="8" max="8"/>
    <col width="17.109375" customWidth="1" style="106" min="9" max="9"/>
    <col width="35.6640625" customWidth="1" style="106" min="10" max="10"/>
    <col width="4.33203125" customWidth="1" style="106" min="11" max="11"/>
  </cols>
  <sheetData>
    <row r="1" ht="30" customHeight="1" s="188">
      <c r="A1" s="142" t="inlineStr">
        <is>
          <t>👔 قسم الإدارة العليا</t>
        </is>
      </c>
    </row>
    <row r="2" ht="21" customHeight="1" s="188">
      <c r="A2" s="141" t="inlineStr">
        <is>
          <t>سجل المستندات والوثائق الخاصة بالإدارة العليا</t>
        </is>
      </c>
    </row>
    <row r="3" ht="6" customHeight="1" s="188"/>
    <row r="4" ht="15" customHeight="1" s="188">
      <c r="A4" s="132" t="inlineStr">
        <is>
          <t>🔙 العودة</t>
        </is>
      </c>
      <c r="E4" s="127" t="inlineStr">
        <is>
          <t>عدد المستندات:</t>
        </is>
      </c>
      <c r="H4" s="131">
        <f>COUNTA(B7:B100)-1</f>
        <v/>
      </c>
    </row>
    <row r="5" ht="6" customHeight="1" s="188"/>
    <row r="6" ht="24" customHeight="1" s="188">
      <c r="B6" s="27" t="inlineStr">
        <is>
          <t>رقم المستند</t>
        </is>
      </c>
      <c r="C6" s="27" t="inlineStr">
        <is>
          <t>نوع المستند</t>
        </is>
      </c>
      <c r="D6" s="27" t="inlineStr">
        <is>
          <t>التاريخ</t>
        </is>
      </c>
      <c r="E6" s="27" t="inlineStr">
        <is>
          <t>الموضوع</t>
        </is>
      </c>
      <c r="F6" s="27" t="inlineStr">
        <is>
          <t>الحالة</t>
        </is>
      </c>
      <c r="G6" s="27" t="inlineStr">
        <is>
          <t>مستوى السرية</t>
        </is>
      </c>
      <c r="H6" s="27" t="inlineStr">
        <is>
          <t>الرابط الإلكتروني</t>
        </is>
      </c>
      <c r="I6" s="27" t="inlineStr">
        <is>
          <t>صادر/وارد</t>
        </is>
      </c>
      <c r="J6" s="27" t="inlineStr">
        <is>
          <t>ملاحظات</t>
        </is>
      </c>
    </row>
    <row r="7" ht="15" customHeight="1" s="188">
      <c r="B7" s="32" t="n"/>
      <c r="C7" s="32" t="n"/>
      <c r="D7" s="33" t="n"/>
      <c r="E7" s="32" t="n"/>
      <c r="F7" s="30" t="n"/>
      <c r="G7" s="30" t="n"/>
      <c r="H7" s="34" t="n"/>
      <c r="I7" s="32" t="n"/>
      <c r="J7" s="32" t="n"/>
    </row>
    <row r="8" ht="15" customHeight="1" s="188">
      <c r="B8" s="53" t="n"/>
      <c r="C8" s="53" t="n"/>
      <c r="D8" s="53" t="n"/>
      <c r="E8" s="53" t="n"/>
      <c r="F8" s="30" t="n"/>
      <c r="G8" s="30" t="n"/>
      <c r="H8" s="54" t="n"/>
      <c r="I8" s="53" t="n"/>
      <c r="J8" s="53" t="n"/>
    </row>
    <row r="9" ht="15" customHeight="1" s="188">
      <c r="B9" s="32" t="n"/>
      <c r="C9" s="32" t="n"/>
      <c r="D9" s="32" t="n"/>
      <c r="E9" s="32" t="n"/>
      <c r="F9" s="30" t="n"/>
      <c r="G9" s="30" t="n"/>
      <c r="H9" s="34" t="n"/>
      <c r="I9" s="32" t="n"/>
      <c r="J9" s="32" t="n"/>
    </row>
    <row r="10" ht="15" customHeight="1" s="188">
      <c r="B10" s="53" t="n"/>
      <c r="C10" s="53" t="n"/>
      <c r="D10" s="53" t="n"/>
      <c r="E10" s="53" t="n"/>
      <c r="F10" s="30" t="n"/>
      <c r="G10" s="30" t="n"/>
      <c r="H10" s="54" t="n"/>
      <c r="I10" s="53" t="n"/>
      <c r="J10" s="53" t="n"/>
    </row>
  </sheetData>
  <mergeCells count="5">
    <mergeCell ref="A2:K2"/>
    <mergeCell ref="E4:G4"/>
    <mergeCell ref="H4:I4"/>
    <mergeCell ref="A4:C4"/>
    <mergeCell ref="A1:K1"/>
  </mergeCells>
  <pageMargins left="0.7" right="0.7" top="0.75" bottom="0.75" header="0.3" footer="0.3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rightToLeft="1" topLeftCell="E1" workbookViewId="0">
      <pane ySplit="7" topLeftCell="A8" activePane="bottomLeft" state="frozen"/>
      <selection pane="bottomLeft" activeCell="B7" sqref="B7:J7"/>
    </sheetView>
  </sheetViews>
  <sheetFormatPr baseColWidth="8" defaultColWidth="8.88671875" defaultRowHeight="15" customHeight="1"/>
  <cols>
    <col width="4.33203125" customWidth="1" style="106" min="1" max="1"/>
    <col width="17.109375" customWidth="1" style="106" min="2" max="2"/>
    <col width="21.44140625" customWidth="1" style="106" min="3" max="3"/>
    <col width="17.109375" customWidth="1" style="106" min="4" max="4"/>
    <col width="50" customWidth="1" style="106" min="5" max="5"/>
    <col width="17.109375" customWidth="1" style="106" min="6" max="7"/>
    <col width="50" customWidth="1" style="106" min="8" max="8"/>
    <col width="17.109375" customWidth="1" style="106" min="9" max="9"/>
    <col width="35.6640625" customWidth="1" style="106" min="10" max="10"/>
    <col width="4.33203125" customWidth="1" style="106" min="11" max="11"/>
  </cols>
  <sheetData>
    <row r="1" ht="30" customHeight="1" s="188">
      <c r="A1" s="144" t="inlineStr">
        <is>
          <t>🔧 قسم المرافق والصيانة</t>
        </is>
      </c>
    </row>
    <row r="2" ht="21" customHeight="1" s="188">
      <c r="A2" s="143" t="inlineStr">
        <is>
          <t>سجل المستندات والوثائق الخاصة بالمرافق والصيانة</t>
        </is>
      </c>
    </row>
    <row r="3" ht="6" customHeight="1" s="188"/>
    <row r="4" ht="15" customHeight="1" s="188">
      <c r="A4" s="132" t="inlineStr">
        <is>
          <t>🔙 العودة</t>
        </is>
      </c>
      <c r="E4" s="127" t="inlineStr">
        <is>
          <t>عدد المستندات:</t>
        </is>
      </c>
      <c r="H4" s="131">
        <f>COUNTA(B7:B100)-1</f>
        <v/>
      </c>
    </row>
    <row r="5" ht="6" customHeight="1" s="188"/>
    <row r="6" ht="24" customHeight="1" s="188">
      <c r="B6" s="27" t="inlineStr">
        <is>
          <t>رقم المستند</t>
        </is>
      </c>
      <c r="C6" s="27" t="inlineStr">
        <is>
          <t>نوع المستند</t>
        </is>
      </c>
      <c r="D6" s="27" t="inlineStr">
        <is>
          <t>التاريخ</t>
        </is>
      </c>
      <c r="E6" s="27" t="inlineStr">
        <is>
          <t>الموضوع</t>
        </is>
      </c>
      <c r="F6" s="27" t="inlineStr">
        <is>
          <t>الحالة</t>
        </is>
      </c>
      <c r="G6" s="27" t="inlineStr">
        <is>
          <t>مستوى السرية</t>
        </is>
      </c>
      <c r="H6" s="27" t="inlineStr">
        <is>
          <t>الرابط الإلكتروني</t>
        </is>
      </c>
      <c r="I6" s="27" t="inlineStr">
        <is>
          <t>صادر/وارد</t>
        </is>
      </c>
      <c r="J6" s="27" t="inlineStr">
        <is>
          <t>ملاحظات</t>
        </is>
      </c>
    </row>
    <row r="7" ht="15" customHeight="1" s="188">
      <c r="B7" s="32" t="n"/>
      <c r="C7" s="32" t="n"/>
      <c r="D7" s="33" t="n"/>
      <c r="E7" s="32" t="n"/>
      <c r="F7" s="30" t="n"/>
      <c r="G7" s="30" t="n"/>
      <c r="H7" s="34" t="n"/>
      <c r="I7" s="32" t="n"/>
      <c r="J7" s="32" t="n"/>
    </row>
    <row r="8" ht="15" customHeight="1" s="188">
      <c r="B8" s="35" t="n"/>
      <c r="C8" s="35" t="n"/>
      <c r="D8" s="35" t="n"/>
      <c r="E8" s="35" t="n"/>
      <c r="F8" s="30" t="n"/>
      <c r="G8" s="30" t="n"/>
      <c r="H8" s="36" t="n"/>
      <c r="I8" s="35" t="n"/>
      <c r="J8" s="35" t="n"/>
    </row>
    <row r="9" ht="15" customHeight="1" s="188">
      <c r="B9" s="32" t="n"/>
      <c r="C9" s="32" t="n"/>
      <c r="D9" s="32" t="n"/>
      <c r="E9" s="32" t="n"/>
      <c r="F9" s="30" t="n"/>
      <c r="G9" s="30" t="n"/>
      <c r="H9" s="34" t="n"/>
      <c r="I9" s="32" t="n"/>
      <c r="J9" s="32" t="n"/>
    </row>
    <row r="10" ht="15" customHeight="1" s="188">
      <c r="B10" s="35" t="n"/>
      <c r="C10" s="35" t="n"/>
      <c r="D10" s="35" t="n"/>
      <c r="E10" s="35" t="n"/>
      <c r="F10" s="30" t="n"/>
      <c r="G10" s="30" t="n"/>
      <c r="H10" s="36" t="n"/>
      <c r="I10" s="35" t="n"/>
      <c r="J10" s="35" t="n"/>
    </row>
    <row r="11" ht="15" customHeight="1" s="188">
      <c r="B11" s="32" t="n"/>
      <c r="C11" s="32" t="n"/>
      <c r="D11" s="32" t="n"/>
      <c r="E11" s="32" t="n"/>
      <c r="F11" s="30" t="n"/>
      <c r="G11" s="30" t="n"/>
      <c r="H11" s="34" t="n"/>
      <c r="I11" s="32" t="n"/>
      <c r="J11" s="32" t="n"/>
    </row>
  </sheetData>
  <mergeCells count="5">
    <mergeCell ref="A2:K2"/>
    <mergeCell ref="E4:G4"/>
    <mergeCell ref="H4:I4"/>
    <mergeCell ref="A4:C4"/>
    <mergeCell ref="A1:K1"/>
  </mergeCells>
  <pageMargins left="0.7" right="0.7" top="0.75" bottom="0.75" header="0.3" footer="0.3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3"/>
  <sheetViews>
    <sheetView rightToLeft="1" workbookViewId="0">
      <pane ySplit="15" topLeftCell="A25" activePane="bottomLeft" state="frozen"/>
      <selection pane="bottomLeft" activeCell="H25" sqref="H25"/>
    </sheetView>
  </sheetViews>
  <sheetFormatPr baseColWidth="8" defaultColWidth="8.88671875" defaultRowHeight="15" customHeight="1"/>
  <cols>
    <col width="2.88671875" customWidth="1" style="106" min="1" max="1"/>
    <col width="17.109375" customWidth="1" style="106" min="2" max="2"/>
    <col width="22.88671875" customWidth="1" style="106" min="3" max="3"/>
    <col width="15.6640625" customWidth="1" style="106" min="4" max="4"/>
    <col width="50" customWidth="1" style="106" min="5" max="5"/>
    <col width="18.5546875" customWidth="1" style="106" min="6" max="6"/>
    <col width="17.109375" customWidth="1" style="106" min="7" max="7"/>
    <col width="28.5546875" customWidth="1" style="106" min="8" max="9"/>
    <col width="18" customWidth="1" style="106" min="10" max="10"/>
  </cols>
  <sheetData>
    <row r="1" ht="33.75" customHeight="1" s="188">
      <c r="A1" s="145" t="inlineStr">
        <is>
          <t>🔒 المستندات السرية والمشفرة</t>
        </is>
      </c>
    </row>
    <row r="2" ht="24" customHeight="1" s="188">
      <c r="A2" s="150" t="inlineStr">
        <is>
          <t>⚠️ تحذير: هذه المنطقة محمية - يتطلب الوصول كود أمان خاص</t>
        </is>
      </c>
    </row>
    <row r="3" ht="15.75" customHeight="1" s="188">
      <c r="B3" s="158" t="n"/>
    </row>
    <row r="4" ht="26.25" customHeight="1" s="188">
      <c r="B4" s="152" t="inlineStr">
        <is>
          <t>🔐 نظام التحقق من الهوية والصلاحيات</t>
        </is>
      </c>
    </row>
    <row r="5" ht="26.4" customHeight="1" s="188">
      <c r="B5" s="159" t="inlineStr">
        <is>
          <t>🔐 للوصول الآمن، يرجى استخدام نظام التحقق من الهوية</t>
        </is>
      </c>
    </row>
    <row r="6" ht="15" customHeight="1" s="188">
      <c r="B6" s="151" t="inlineStr">
        <is>
          <t>كود الوصول المطلوب:</t>
        </is>
      </c>
      <c r="E6" s="147" t="inlineStr">
        <is>
          <t>[يتم الإدخال عبر النظام]</t>
        </is>
      </c>
    </row>
    <row r="7" ht="15" customHeight="1" s="188">
      <c r="B7" s="151" t="inlineStr">
        <is>
          <t>المستخدم الحالي:</t>
        </is>
      </c>
      <c r="E7" s="155" t="inlineStr">
        <is>
          <t>مدير النظام</t>
        </is>
      </c>
    </row>
    <row r="8" ht="15" customHeight="1" s="188">
      <c r="B8" s="151" t="inlineStr">
        <is>
          <t>مستوى الصلاحية:</t>
        </is>
      </c>
      <c r="E8" s="155" t="inlineStr">
        <is>
          <t>كامل الصلاحيات</t>
        </is>
      </c>
    </row>
    <row r="9" ht="15" customHeight="1" s="188">
      <c r="B9" s="151" t="inlineStr">
        <is>
          <t>آخر محاولة دخول:</t>
        </is>
      </c>
      <c r="E9" s="157" t="inlineStr">
        <is>
          <t>2026-01-02 14:35:22</t>
        </is>
      </c>
    </row>
    <row r="10" ht="7.5" customHeight="1" s="188"/>
    <row r="11" ht="15" customHeight="1" s="188">
      <c r="B11" s="154" t="inlineStr">
        <is>
          <t>📌 ملاحظة هامة: الوصول لهذه المستندات يُسجل تلقائياً في سجل النشاطات الأمنية</t>
        </is>
      </c>
    </row>
    <row r="12" ht="7.5" customHeight="1" s="188"/>
    <row r="13" ht="15" customHeight="1" s="188">
      <c r="A13" s="146" t="inlineStr">
        <is>
          <t>🔙 العودة للصفحة الرئيسية</t>
        </is>
      </c>
      <c r="E13" s="148" t="inlineStr">
        <is>
          <t>عدد المستندات السرية:</t>
        </is>
      </c>
      <c r="H13" s="149" t="n">
        <v>3</v>
      </c>
    </row>
    <row r="14" ht="7.5" customHeight="1" s="188"/>
    <row r="15" ht="24" customHeight="1" s="188">
      <c r="B15" s="55" t="inlineStr">
        <is>
          <t>رقم المستند</t>
        </is>
      </c>
      <c r="C15" s="55" t="inlineStr">
        <is>
          <t>القسم</t>
        </is>
      </c>
      <c r="D15" s="55" t="inlineStr">
        <is>
          <t>التاريخ</t>
        </is>
      </c>
      <c r="E15" s="55" t="inlineStr">
        <is>
          <t>الموضوع</t>
        </is>
      </c>
      <c r="F15" s="55" t="inlineStr">
        <is>
          <t>درجة السرية</t>
        </is>
      </c>
      <c r="G15" s="55" t="inlineStr">
        <is>
          <t>الرابط المشفر</t>
        </is>
      </c>
      <c r="H15" s="55" t="inlineStr">
        <is>
          <t>المخول بالاطلاع</t>
        </is>
      </c>
      <c r="I15" s="55" t="inlineStr">
        <is>
          <t>ملاحظات</t>
        </is>
      </c>
      <c r="J15" s="56" t="inlineStr">
        <is>
          <t>🔑 الرقم السري</t>
        </is>
      </c>
    </row>
    <row r="16" ht="18.75" customHeight="1" s="188">
      <c r="B16" s="57" t="inlineStr">
        <is>
          <t>SD-2026-001</t>
        </is>
      </c>
      <c r="C16" s="58" t="inlineStr">
        <is>
          <t>الإدارة العليا</t>
        </is>
      </c>
      <c r="D16" s="57" t="inlineStr">
        <is>
          <t>2026-01-15</t>
        </is>
      </c>
      <c r="E16" s="58" t="inlineStr">
        <is>
          <t>محضر اجتماع سري لمجلس الإدارة</t>
        </is>
      </c>
      <c r="F16" s="55" t="inlineStr">
        <is>
          <t>سري للغاية</t>
        </is>
      </c>
      <c r="G16" s="59" t="inlineStr">
        <is>
          <t>enc://vault/SD-2026-001</t>
        </is>
      </c>
      <c r="H16" s="58" t="inlineStr">
        <is>
          <t>مدير النظام</t>
        </is>
      </c>
      <c r="I16" s="58" t="inlineStr">
        <is>
          <t>يحظر النسخ أو المشاركة</t>
        </is>
      </c>
      <c r="J16" t="inlineStr">
        <is>
          <t>A9X7-4K2P</t>
        </is>
      </c>
    </row>
    <row r="17" ht="18.75" customHeight="1" s="188">
      <c r="B17" s="60" t="inlineStr">
        <is>
          <t>SD-2026-002</t>
        </is>
      </c>
      <c r="C17" s="61" t="inlineStr">
        <is>
          <t>نظام الوصول الآمن</t>
        </is>
      </c>
      <c r="D17" s="60" t="inlineStr">
        <is>
          <t>2026-02-02</t>
        </is>
      </c>
      <c r="E17" s="61" t="inlineStr">
        <is>
          <t>خطة الاستجابة للحوادث الأمنية</t>
        </is>
      </c>
      <c r="F17" s="55" t="inlineStr">
        <is>
          <t>سري</t>
        </is>
      </c>
      <c r="G17" s="62" t="inlineStr">
        <is>
          <t>enc://vault/SD-2026-002</t>
        </is>
      </c>
      <c r="H17" s="61" t="inlineStr">
        <is>
          <t>مسؤول أمن المعلومات</t>
        </is>
      </c>
      <c r="I17" s="61" t="inlineStr">
        <is>
          <t>مراجعة ربع سنوية</t>
        </is>
      </c>
      <c r="J17" t="inlineStr">
        <is>
          <t>Q3M1-8ZT0</t>
        </is>
      </c>
    </row>
    <row r="18" ht="18.75" customHeight="1" s="188">
      <c r="B18" s="57" t="inlineStr">
        <is>
          <t>SD-2026-003</t>
        </is>
      </c>
      <c r="C18" s="58" t="inlineStr">
        <is>
          <t>الشؤون المالية</t>
        </is>
      </c>
      <c r="D18" s="57" t="inlineStr">
        <is>
          <t>2026-02-18</t>
        </is>
      </c>
      <c r="E18" s="58" t="inlineStr">
        <is>
          <t>بيانات تدقيق داخلي حساسة</t>
        </is>
      </c>
      <c r="F18" s="63" t="inlineStr">
        <is>
          <t>سري</t>
        </is>
      </c>
      <c r="G18" s="59" t="inlineStr">
        <is>
          <t>enc://vault/SD-2026-003</t>
        </is>
      </c>
      <c r="H18" s="58" t="inlineStr">
        <is>
          <t>المدير المالي</t>
        </is>
      </c>
      <c r="I18" s="58" t="inlineStr">
        <is>
          <t>ممنوع الطباعة</t>
        </is>
      </c>
      <c r="J18" t="inlineStr">
        <is>
          <t>L5V2-1R8C</t>
        </is>
      </c>
    </row>
    <row r="19" ht="18.75" customHeight="1" s="188">
      <c r="B19" s="60" t="n"/>
      <c r="C19" s="61" t="n"/>
      <c r="D19" s="60" t="n"/>
      <c r="E19" s="61" t="n"/>
      <c r="F19" s="55" t="n"/>
      <c r="G19" s="62" t="n"/>
      <c r="H19" s="61" t="n"/>
      <c r="I19" s="61" t="n"/>
    </row>
    <row r="20" ht="18.75" customHeight="1" s="188">
      <c r="B20" s="57" t="n"/>
      <c r="C20" s="58" t="n"/>
      <c r="D20" s="57" t="n"/>
      <c r="E20" s="58" t="n"/>
      <c r="F20" s="55" t="n"/>
      <c r="G20" s="59" t="n"/>
      <c r="H20" s="58" t="n"/>
      <c r="I20" s="58" t="n"/>
    </row>
    <row r="21" ht="18.75" customHeight="1" s="188">
      <c r="B21" s="60" t="n"/>
      <c r="C21" s="61" t="n"/>
      <c r="D21" s="60" t="n"/>
      <c r="E21" s="61" t="n"/>
      <c r="F21" s="55" t="n"/>
      <c r="G21" s="62" t="n"/>
      <c r="H21" s="61" t="n"/>
      <c r="I21" s="61" t="n"/>
    </row>
    <row r="22" ht="18.75" customHeight="1" s="188">
      <c r="B22" s="57" t="n"/>
      <c r="C22" s="58" t="n"/>
      <c r="D22" s="57" t="n"/>
      <c r="E22" s="58" t="n"/>
      <c r="F22" s="64" t="n"/>
      <c r="G22" s="59" t="n"/>
      <c r="H22" s="58" t="n"/>
      <c r="I22" s="58" t="n"/>
    </row>
    <row r="23" ht="18.75" customHeight="1" s="188">
      <c r="B23" s="60" t="n"/>
      <c r="C23" s="61" t="n"/>
      <c r="D23" s="60" t="n"/>
      <c r="E23" s="61" t="n"/>
      <c r="F23" s="64" t="n"/>
      <c r="G23" s="62" t="n"/>
      <c r="H23" s="61" t="n"/>
      <c r="I23" s="61" t="n"/>
    </row>
    <row r="24" ht="18.75" customHeight="1" s="188">
      <c r="B24" s="57" t="n"/>
      <c r="C24" s="58" t="n"/>
      <c r="D24" s="57" t="n"/>
      <c r="E24" s="58" t="n"/>
      <c r="F24" s="64" t="n"/>
      <c r="G24" s="59" t="n"/>
      <c r="H24" s="58" t="n"/>
      <c r="I24" s="58" t="n"/>
    </row>
    <row r="25" ht="18.75" customHeight="1" s="188">
      <c r="B25" s="60" t="n"/>
      <c r="C25" s="61" t="n"/>
      <c r="D25" s="60" t="n"/>
      <c r="E25" s="61" t="n"/>
      <c r="F25" s="64" t="n"/>
      <c r="G25" s="62" t="n"/>
      <c r="H25" s="61" t="n"/>
      <c r="I25" s="61" t="n"/>
    </row>
    <row r="26" ht="18.75" customHeight="1" s="188">
      <c r="B26" s="57" t="n"/>
      <c r="C26" s="58" t="n"/>
      <c r="D26" s="57" t="n"/>
      <c r="E26" s="58" t="n"/>
      <c r="F26" s="64" t="n"/>
      <c r="G26" s="59" t="n"/>
      <c r="H26" s="58" t="n"/>
      <c r="I26" s="58" t="n"/>
    </row>
    <row r="27" ht="18.75" customHeight="1" s="188">
      <c r="B27" s="60" t="n"/>
      <c r="C27" s="61" t="n"/>
      <c r="D27" s="60" t="n"/>
      <c r="E27" s="61" t="n"/>
      <c r="F27" s="64" t="n"/>
      <c r="G27" s="62" t="n"/>
      <c r="H27" s="61" t="n"/>
      <c r="I27" s="61" t="n"/>
    </row>
    <row r="28" ht="18.75" customHeight="1" s="188">
      <c r="B28" s="57" t="n"/>
      <c r="C28" s="58" t="n"/>
      <c r="D28" s="57" t="n"/>
      <c r="E28" s="58" t="n"/>
      <c r="F28" s="55" t="n"/>
      <c r="G28" s="59" t="n"/>
      <c r="H28" s="58" t="n"/>
      <c r="I28" s="58" t="n"/>
    </row>
    <row r="30" ht="7.5" customHeight="1" s="188"/>
    <row r="31" ht="15" customHeight="1" s="188">
      <c r="B31" s="156" t="inlineStr">
        <is>
          <t>⚠️ تنبيه أمني: جميع محاولات الوصول مسجلة | لطلب صلاحيات جديدة، تواصل مع قسم أمن المعلومات</t>
        </is>
      </c>
    </row>
    <row r="32" ht="6" customHeight="1" s="188"/>
    <row r="33" ht="15" customHeight="1" s="188">
      <c r="B33" s="153" t="inlineStr">
        <is>
          <t>📋 أنواع الصلاحيات: [كامل الصلاحيات] | [قراءة فقط] | [قسم محدد] | [تحرير محدود]</t>
        </is>
      </c>
    </row>
  </sheetData>
  <mergeCells count="19">
    <mergeCell ref="E13:G13"/>
    <mergeCell ref="B8:D8"/>
    <mergeCell ref="B31:I31"/>
    <mergeCell ref="E8:F8"/>
    <mergeCell ref="B11:I11"/>
    <mergeCell ref="B9:D9"/>
    <mergeCell ref="E9:F9"/>
    <mergeCell ref="B6:D6"/>
    <mergeCell ref="A1:J1"/>
    <mergeCell ref="A13:C13"/>
    <mergeCell ref="E6:F6"/>
    <mergeCell ref="B5:J5"/>
    <mergeCell ref="B7:D7"/>
    <mergeCell ref="H13:I13"/>
    <mergeCell ref="B3:J3"/>
    <mergeCell ref="B33:I33"/>
    <mergeCell ref="E7:F7"/>
    <mergeCell ref="A2:J2"/>
    <mergeCell ref="B4:I4"/>
  </mergeCells>
  <pageMargins left="0.7" right="0.7" top="0.75" bottom="0.75" header="0.3" footer="0.3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1"/>
  <sheetViews>
    <sheetView rightToLeft="1" topLeftCell="A40" workbookViewId="0">
      <selection activeCell="C33" sqref="C33:C36"/>
    </sheetView>
  </sheetViews>
  <sheetFormatPr baseColWidth="8" defaultColWidth="8.88671875" defaultRowHeight="15" customHeight="1"/>
  <cols>
    <col width="0.44140625" customWidth="1" style="106" min="1" max="1"/>
    <col width="11.6640625" customWidth="1" style="106" min="2" max="2"/>
    <col width="13.6640625" customWidth="1" style="106" min="3" max="3"/>
    <col width="12" customWidth="1" style="106" min="4" max="4"/>
    <col width="12.5546875" customWidth="1" style="106" min="5" max="5"/>
    <col width="13.33203125" customWidth="1" style="106" min="6" max="6"/>
    <col width="10.88671875" customWidth="1" style="106" min="7" max="7"/>
    <col width="2.109375" customWidth="1" style="106" min="8" max="9"/>
    <col width="0.44140625" customWidth="1" style="106" min="10" max="10"/>
  </cols>
  <sheetData>
    <row r="1" ht="33.75" customHeight="1" s="188">
      <c r="A1" s="161" t="inlineStr">
        <is>
          <t>📊 التقارير والإحصائيات الشاملة</t>
        </is>
      </c>
    </row>
    <row r="2" ht="22.5" customHeight="1" s="188">
      <c r="A2" s="166" t="inlineStr">
        <is>
          <t>تحليل شامل لبيانات المستندات والوثائق في جميع الأقسام</t>
        </is>
      </c>
    </row>
    <row r="3" ht="7.5" customHeight="1" s="188"/>
    <row r="4" ht="15" customHeight="1" s="188">
      <c r="B4" s="164" t="inlineStr">
        <is>
          <t>🔙 العودة للصفحة الرئيسية</t>
        </is>
      </c>
    </row>
    <row r="5" ht="7.5" customHeight="1" s="188"/>
    <row r="6" ht="15" customHeight="1" s="188">
      <c r="B6" s="163" t="inlineStr">
        <is>
          <t>📈 إحصائيات المستندات حسب الأقسام</t>
        </is>
      </c>
    </row>
    <row r="7" ht="6" customHeight="1" s="188"/>
    <row r="8" ht="15" customHeight="1" s="188">
      <c r="B8" s="65" t="inlineStr">
        <is>
          <t>القسم</t>
        </is>
      </c>
      <c r="C8" s="65" t="inlineStr">
        <is>
          <t>إجمالي المستندات</t>
        </is>
      </c>
      <c r="D8" s="65" t="inlineStr">
        <is>
          <t>مستندات سرية</t>
        </is>
      </c>
      <c r="E8" s="65" t="inlineStr">
        <is>
          <t>مستندات عادية</t>
        </is>
      </c>
      <c r="F8" s="65" t="inlineStr">
        <is>
          <t>نسبة السرية %</t>
        </is>
      </c>
      <c r="G8" s="65" t="inlineStr">
        <is>
          <t>الحالة</t>
        </is>
      </c>
    </row>
    <row r="9" ht="15" customHeight="1" s="188">
      <c r="B9" s="66" t="inlineStr">
        <is>
          <t>شؤون الطلاب</t>
        </is>
      </c>
      <c r="C9" s="67" t="n"/>
      <c r="D9" s="67" t="n"/>
      <c r="E9" s="67" t="n"/>
      <c r="F9" s="68">
        <f>D9/C9</f>
        <v/>
      </c>
      <c r="G9" s="69" t="n"/>
    </row>
    <row r="10" ht="15" customHeight="1" s="188">
      <c r="B10" s="70" t="inlineStr">
        <is>
          <t>التحصيل المالي</t>
        </is>
      </c>
      <c r="C10" s="71" t="n"/>
      <c r="D10" s="71" t="n"/>
      <c r="E10" s="71" t="n"/>
      <c r="F10" s="72">
        <f>D10/C10</f>
        <v/>
      </c>
      <c r="G10" s="73" t="n"/>
    </row>
    <row r="11" ht="15" customHeight="1" s="188">
      <c r="B11" s="66" t="inlineStr">
        <is>
          <t>الشؤون المالية</t>
        </is>
      </c>
      <c r="C11" s="67" t="n"/>
      <c r="D11" s="67" t="n"/>
      <c r="E11" s="67" t="n"/>
      <c r="F11" s="68">
        <f>D11/C11</f>
        <v/>
      </c>
      <c r="G11" s="69" t="n"/>
    </row>
    <row r="12" ht="15" customHeight="1" s="188">
      <c r="B12" s="70" t="inlineStr">
        <is>
          <t>الإدارة الأكاديمية</t>
        </is>
      </c>
      <c r="C12" s="71" t="n"/>
      <c r="D12" s="71" t="n"/>
      <c r="E12" s="71" t="n"/>
      <c r="F12" s="72">
        <f>D12/C12</f>
        <v/>
      </c>
      <c r="G12" s="73" t="n"/>
    </row>
    <row r="13" ht="15" customHeight="1" s="188">
      <c r="B13" s="66" t="inlineStr">
        <is>
          <t>إدارة الجودة</t>
        </is>
      </c>
      <c r="C13" s="67" t="n"/>
      <c r="D13" s="67" t="n"/>
      <c r="E13" s="67" t="n"/>
      <c r="F13" s="68">
        <f>D13/C13</f>
        <v/>
      </c>
      <c r="G13" s="69" t="n"/>
    </row>
    <row r="14" ht="15" customHeight="1" s="188">
      <c r="B14" s="70" t="inlineStr">
        <is>
          <t>الإدارة العليا</t>
        </is>
      </c>
      <c r="C14" s="71" t="n"/>
      <c r="D14" s="71" t="n"/>
      <c r="E14" s="71" t="n"/>
      <c r="F14" s="72">
        <f>D14/C14</f>
        <v/>
      </c>
      <c r="G14" s="73" t="n"/>
    </row>
    <row r="15" ht="15" customHeight="1" s="188">
      <c r="B15" s="66" t="inlineStr">
        <is>
          <t>المرافق والصيانة</t>
        </is>
      </c>
      <c r="C15" s="67" t="n"/>
      <c r="D15" s="67" t="n"/>
      <c r="E15" s="67" t="n"/>
      <c r="F15" s="68">
        <f>D15/C15</f>
        <v/>
      </c>
      <c r="G15" s="69" t="n"/>
    </row>
    <row r="16" ht="15" customHeight="1" s="188">
      <c r="B16" s="74" t="inlineStr">
        <is>
          <t>الإجمالي</t>
        </is>
      </c>
      <c r="C16" s="75">
        <f>SUM(C9:C15)</f>
        <v/>
      </c>
      <c r="D16" s="75">
        <f>SUM(D9:D15)</f>
        <v/>
      </c>
      <c r="E16" s="75">
        <f>SUM(E9:E15)</f>
        <v/>
      </c>
      <c r="F16" s="75">
        <f>D16/C16</f>
        <v/>
      </c>
      <c r="G16" s="75" t="inlineStr">
        <is>
          <t>7 أقسام نشطة</t>
        </is>
      </c>
    </row>
    <row r="18" ht="7.5" customHeight="1" s="188"/>
    <row r="19" ht="15" customHeight="1" s="188">
      <c r="B19" s="165" t="inlineStr">
        <is>
          <t>📑 تحليل أنواع المستندات</t>
        </is>
      </c>
    </row>
    <row r="20" ht="6" customHeight="1" s="188"/>
    <row r="21" ht="15" customHeight="1" s="188">
      <c r="B21" s="76" t="inlineStr">
        <is>
          <t>نوع المستند</t>
        </is>
      </c>
      <c r="C21" s="76" t="inlineStr">
        <is>
          <t>العدد</t>
        </is>
      </c>
      <c r="D21" s="76" t="inlineStr">
        <is>
          <t>النسبة %</t>
        </is>
      </c>
    </row>
    <row r="22" ht="15" customHeight="1" s="188">
      <c r="B22" s="66" t="inlineStr">
        <is>
          <t>عقد</t>
        </is>
      </c>
      <c r="C22" s="69" t="n"/>
      <c r="D22" s="69">
        <f>C22/306</f>
        <v/>
      </c>
    </row>
    <row r="23" ht="15" customHeight="1" s="188">
      <c r="B23" s="77" t="inlineStr">
        <is>
          <t>تعميم</t>
        </is>
      </c>
      <c r="C23" s="78" t="n"/>
      <c r="D23" s="78">
        <f>C23/306</f>
        <v/>
      </c>
    </row>
    <row r="24" ht="15" customHeight="1" s="188">
      <c r="B24" s="66" t="inlineStr">
        <is>
          <t>محضر اجتماع</t>
        </is>
      </c>
      <c r="C24" s="69" t="n"/>
      <c r="D24" s="69">
        <f>C24/306</f>
        <v/>
      </c>
    </row>
    <row r="25" ht="15" customHeight="1" s="188">
      <c r="B25" s="77" t="inlineStr">
        <is>
          <t>خطاب وارد</t>
        </is>
      </c>
      <c r="C25" s="78" t="n"/>
      <c r="D25" s="78">
        <f>C25/306</f>
        <v/>
      </c>
    </row>
    <row r="26" ht="15" customHeight="1" s="188">
      <c r="B26" s="66" t="inlineStr">
        <is>
          <t>خطاب صادر</t>
        </is>
      </c>
      <c r="C26" s="69" t="n"/>
      <c r="D26" s="69">
        <f>C26/306</f>
        <v/>
      </c>
    </row>
    <row r="27" ht="15" customHeight="1" s="188">
      <c r="B27" s="79" t="inlineStr">
        <is>
          <t>المجموع</t>
        </is>
      </c>
      <c r="C27" s="80">
        <f>SUM(C22:C26)</f>
        <v/>
      </c>
      <c r="D27" s="80">
        <f>SUM(D22:D26)</f>
        <v/>
      </c>
    </row>
    <row r="29" ht="7.5" customHeight="1" s="188"/>
    <row r="30" ht="15" customHeight="1" s="188">
      <c r="B30" s="162" t="inlineStr">
        <is>
          <t>🔐 توزيع مستويات السرية</t>
        </is>
      </c>
    </row>
    <row r="31" ht="6" customHeight="1" s="188"/>
    <row r="32" ht="15" customHeight="1" s="188">
      <c r="B32" s="81" t="inlineStr">
        <is>
          <t>مستوى السرية</t>
        </is>
      </c>
      <c r="C32" s="81" t="inlineStr">
        <is>
          <t>العدد</t>
        </is>
      </c>
      <c r="D32" s="81" t="inlineStr">
        <is>
          <t>النسبة %</t>
        </is>
      </c>
      <c r="E32" s="81" t="inlineStr">
        <is>
          <t>التصنيف</t>
        </is>
      </c>
    </row>
    <row r="33" ht="15" customHeight="1" s="188">
      <c r="B33" s="82" t="inlineStr">
        <is>
          <t>عادي</t>
        </is>
      </c>
      <c r="C33" s="83" t="n"/>
      <c r="D33" s="83">
        <f>C33/306</f>
        <v/>
      </c>
      <c r="E33" s="82" t="inlineStr">
        <is>
          <t>منخفض المخاطر</t>
        </is>
      </c>
    </row>
    <row r="34" ht="15" customHeight="1" s="188">
      <c r="B34" s="82" t="inlineStr">
        <is>
          <t>مهم</t>
        </is>
      </c>
      <c r="C34" s="83" t="n"/>
      <c r="D34" s="83">
        <f>C34/306</f>
        <v/>
      </c>
      <c r="E34" s="82" t="inlineStr">
        <is>
          <t>متوسط المخاطر</t>
        </is>
      </c>
    </row>
    <row r="35" ht="15" customHeight="1" s="188">
      <c r="B35" s="82" t="inlineStr">
        <is>
          <t>سري</t>
        </is>
      </c>
      <c r="C35" s="83" t="n"/>
      <c r="D35" s="83">
        <f>C35/306</f>
        <v/>
      </c>
      <c r="E35" s="82" t="inlineStr">
        <is>
          <t>عالي المخاطر</t>
        </is>
      </c>
    </row>
    <row r="36" ht="15" customHeight="1" s="188">
      <c r="B36" s="82" t="inlineStr">
        <is>
          <t>سري للغاية</t>
        </is>
      </c>
      <c r="C36" s="83" t="n"/>
      <c r="D36" s="83">
        <f>C36/306</f>
        <v/>
      </c>
      <c r="E36" s="82" t="inlineStr">
        <is>
          <t>حرج جداً</t>
        </is>
      </c>
    </row>
    <row r="37" ht="15" customHeight="1" s="188">
      <c r="B37" s="84" t="inlineStr">
        <is>
          <t>المجموع</t>
        </is>
      </c>
      <c r="C37" s="85">
        <f>SUM(C33:C36)</f>
        <v/>
      </c>
      <c r="D37" s="85">
        <f>SUM(D33:D36)</f>
        <v/>
      </c>
      <c r="E37" s="86" t="n"/>
    </row>
    <row r="40" ht="11.25" customHeight="1" s="188"/>
    <row r="41" ht="15" customHeight="1" s="188">
      <c r="B41" s="160" t="inlineStr">
        <is>
          <t>📅 تاريخ إنشاء التقرير: 2026-01-02 | يتم تحديث الإحصائيات تلقائياً</t>
        </is>
      </c>
    </row>
  </sheetData>
  <mergeCells count="7">
    <mergeCell ref="A1:J1"/>
    <mergeCell ref="B30:I30"/>
    <mergeCell ref="B6:I6"/>
    <mergeCell ref="B4:D4"/>
    <mergeCell ref="B19:I19"/>
    <mergeCell ref="A2:J2"/>
    <mergeCell ref="B41:I41"/>
  </mergeCells>
  <pageMargins left="0.7" right="0.7" top="0.75" bottom="0.75" header="0.3" footer="0.3"/>
  <pageSetup orientation="portrait"/>
  <headerFooter>
    <oddHeader>&amp;L&amp;C&amp;R</oddHeader>
    <oddFooter>&amp;L&amp;C&amp;R</oddFooter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12"/>
  <sheetViews>
    <sheetView rightToLeft="1" topLeftCell="A70" workbookViewId="0">
      <selection activeCell="A1" sqref="A1:H1"/>
    </sheetView>
  </sheetViews>
  <sheetFormatPr baseColWidth="8" defaultColWidth="8.88671875" defaultRowHeight="15" customHeight="1"/>
  <cols>
    <col width="2.88671875" customWidth="1" style="106" min="1" max="1"/>
    <col width="28.5546875" customWidth="1" style="106" min="2" max="2"/>
    <col width="22.88671875" customWidth="1" style="106" min="3" max="7"/>
    <col width="2.88671875" customWidth="1" style="106" min="8" max="8"/>
  </cols>
  <sheetData>
    <row r="1" ht="33.75" customHeight="1" s="188">
      <c r="A1" s="171" t="inlineStr">
        <is>
          <t>📖 دليل الاستخدام الشامل</t>
        </is>
      </c>
    </row>
    <row r="2" ht="22.5" customHeight="1" s="188">
      <c r="A2" s="174" t="inlineStr">
        <is>
          <t>إرشادات تفصيلية لاستخدام نظام إدارة الوثائق والسجلات المؤسسية</t>
        </is>
      </c>
    </row>
    <row r="3" ht="7.5" customHeight="1" s="188"/>
    <row r="4" ht="15" customHeight="1" s="188">
      <c r="B4" s="169" t="inlineStr">
        <is>
          <t>🔙 العودة للصفحة الرئيسية</t>
        </is>
      </c>
    </row>
    <row r="5" ht="7.5" customHeight="1" s="188"/>
    <row r="6" ht="15" customHeight="1" s="188">
      <c r="B6" s="173" t="inlineStr">
        <is>
          <t>📋 نظرة عامة على النظام</t>
        </is>
      </c>
    </row>
    <row r="7" ht="6" customHeight="1" s="188"/>
    <row r="8" ht="15" customHeight="1" s="188">
      <c r="B8" s="167" t="inlineStr">
        <is>
          <t>نظام إدارة الوثائق والسجلات المؤسسية هو منصة شاملة لإدارة جميع المستندات والوثائق في المعهد التعليمي. يتيح النظام:</t>
        </is>
      </c>
    </row>
    <row r="9" ht="15" customHeight="1" s="188">
      <c r="B9" s="167" t="inlineStr">
        <is>
          <t>✓ تسجيل وأرشفة المستندات بشكل منظم ومهني</t>
        </is>
      </c>
    </row>
    <row r="10" ht="15" customHeight="1" s="188">
      <c r="B10" s="167" t="inlineStr">
        <is>
          <t>✓ الوصول السريع للمستندات عبر الروابط الإلكترونية المباشرة</t>
        </is>
      </c>
    </row>
    <row r="11" ht="15" customHeight="1" s="188">
      <c r="B11" s="167" t="inlineStr">
        <is>
          <t>✓ تأمين المستندات السرية بنظام حماية متقدم</t>
        </is>
      </c>
    </row>
    <row r="12" ht="15" customHeight="1" s="188">
      <c r="B12" s="167" t="inlineStr">
        <is>
          <t>✓ إنشاء تقارير وإحصائيات تحليلية شاملة</t>
        </is>
      </c>
    </row>
    <row r="13" ht="15" customHeight="1" s="188">
      <c r="B13" s="167" t="inlineStr">
        <is>
          <t>✓ إدارة الصلاحيات والوصول حسب الأدوار الوظيفية</t>
        </is>
      </c>
    </row>
    <row r="14" ht="7.5" customHeight="1" s="188"/>
    <row r="15" ht="15" customHeight="1" s="188">
      <c r="B15" s="165" t="inlineStr">
        <is>
          <t>🎯 كيفية استخدام النظام</t>
        </is>
      </c>
    </row>
    <row r="16" ht="6" customHeight="1" s="188"/>
    <row r="17" ht="15" customHeight="1" s="188">
      <c r="B17" s="169" t="inlineStr">
        <is>
          <t>1️⃣ للوصول إلى قسم معين:</t>
        </is>
      </c>
    </row>
    <row r="18" ht="15" customHeight="1" s="188">
      <c r="B18" s="167" t="inlineStr">
        <is>
          <t>- من الصفحة الرئيسية، انقر على اسم القسم المطلوب من قائمة الروابط السريعة</t>
        </is>
      </c>
    </row>
    <row r="19" ht="15" customHeight="1" s="188">
      <c r="B19" s="167" t="inlineStr">
        <is>
          <t>- ستنتقل مباشرة إلى صفحة القسم لعرض جميع مستنداته</t>
        </is>
      </c>
    </row>
    <row r="20" ht="3.75" customHeight="1" s="188"/>
    <row r="21" ht="15" customHeight="1" s="188">
      <c r="B21" s="169" t="inlineStr">
        <is>
          <t>2️⃣ للبحث عن مستند معين:</t>
        </is>
      </c>
    </row>
    <row r="22" ht="15" customHeight="1" s="188">
      <c r="B22" s="167" t="inlineStr">
        <is>
          <t>- افتح السجل الرئيسي للمستندات</t>
        </is>
      </c>
    </row>
    <row r="23" ht="15" customHeight="1" s="188">
      <c r="B23" s="167" t="inlineStr">
        <is>
          <t>- استخدم أدوات الفلترة في رأس الجدول للبحث حسب القسم، النوع، التاريخ، أو مستوى السرية</t>
        </is>
      </c>
    </row>
    <row r="24" ht="15" customHeight="1" s="188">
      <c r="B24" s="167" t="inlineStr">
        <is>
          <t>- انقر على الرابط الإلكتروني للوصول المباشر للمستند</t>
        </is>
      </c>
    </row>
    <row r="25" ht="3.75" customHeight="1" s="188"/>
    <row r="26" ht="15" customHeight="1" s="188">
      <c r="B26" s="169" t="inlineStr">
        <is>
          <t>3️⃣ لإضافة مستند جديد:</t>
        </is>
      </c>
    </row>
    <row r="27" ht="15" customHeight="1" s="188">
      <c r="B27" s="167" t="inlineStr">
        <is>
          <t>- انتقل إلى السجل الرئيسي أو صفحة القسم المعني</t>
        </is>
      </c>
    </row>
    <row r="28" ht="15" customHeight="1" s="188">
      <c r="B28" s="167" t="inlineStr">
        <is>
          <t>- استخدم أول سطر فارغ بعد آخر مستند مسجل</t>
        </is>
      </c>
    </row>
    <row r="29" ht="15" customHeight="1" s="188">
      <c r="B29" s="167" t="inlineStr">
        <is>
          <t>- أدخل جميع البيانات المطلوبة: رقم المستند، النوع، التاريخ، الموضوع، الحالة، مستوى السرية، الرابط، والملاحظات</t>
        </is>
      </c>
    </row>
    <row r="30" ht="3.75" customHeight="1" s="188"/>
    <row r="31" ht="15" customHeight="1" s="188">
      <c r="B31" s="170" t="inlineStr">
        <is>
          <t>4️⃣ للوصول إلى المستندات السرية:</t>
        </is>
      </c>
    </row>
    <row r="32" ht="15" customHeight="1" s="188">
      <c r="B32" s="168" t="inlineStr">
        <is>
          <t>⚠️ يتطلب الوصول إلى المستندات السرية كود أمان خاص</t>
        </is>
      </c>
    </row>
    <row r="33" ht="15" customHeight="1" s="188">
      <c r="B33" s="167" t="inlineStr">
        <is>
          <t>- انقر على صفحة 'المستندات السرية' من الصفحة الرئيسية</t>
        </is>
      </c>
    </row>
    <row r="34" ht="15" customHeight="1" s="188">
      <c r="B34" s="167" t="inlineStr">
        <is>
          <t>- تأكد من امتلاكك الصلاحيات اللازمة للاطلاع على المستندات</t>
        </is>
      </c>
    </row>
    <row r="35" ht="15" customHeight="1" s="188">
      <c r="B35" s="175" t="inlineStr">
        <is>
          <t>- جميع محاولات الوصول مسجلة في سجل النشاطات الأمنية</t>
        </is>
      </c>
    </row>
    <row r="36" ht="7.5" customHeight="1" s="188"/>
    <row r="37" ht="15" customHeight="1" s="188">
      <c r="B37" s="162" t="inlineStr">
        <is>
          <t>🔐 جدول الصلاحيات وإدارة الوصول</t>
        </is>
      </c>
    </row>
    <row r="38" ht="6" customHeight="1" s="188"/>
    <row r="39" ht="15" customHeight="1" s="188">
      <c r="B39" s="87" t="inlineStr">
        <is>
          <t>الدور الوظيفي</t>
        </is>
      </c>
      <c r="C39" s="87" t="inlineStr">
        <is>
          <t>صلاحيات المشاهدة</t>
        </is>
      </c>
      <c r="D39" s="87" t="inlineStr">
        <is>
          <t>صلاحيات التحرير</t>
        </is>
      </c>
      <c r="E39" s="87" t="inlineStr">
        <is>
          <t>الوصول للمستندات السرية</t>
        </is>
      </c>
      <c r="F39" s="87" t="inlineStr">
        <is>
          <t>إنشاء التقارير</t>
        </is>
      </c>
      <c r="G39" s="87" t="inlineStr">
        <is>
          <t>إدارة الصلاحيات</t>
        </is>
      </c>
    </row>
    <row r="40" ht="15" customHeight="1" s="188">
      <c r="B40" s="69" t="inlineStr">
        <is>
          <t>مدير النظام</t>
        </is>
      </c>
      <c r="C40" s="69" t="inlineStr">
        <is>
          <t>كامل</t>
        </is>
      </c>
      <c r="D40" s="69" t="inlineStr">
        <is>
          <t>كامل</t>
        </is>
      </c>
      <c r="E40" s="69" t="inlineStr">
        <is>
          <t>كامل الوصول</t>
        </is>
      </c>
      <c r="F40" s="69" t="inlineStr">
        <is>
          <t>نعم</t>
        </is>
      </c>
      <c r="G40" s="69" t="inlineStr">
        <is>
          <t>نعم</t>
        </is>
      </c>
    </row>
    <row r="41" ht="15" customHeight="1" s="188">
      <c r="B41" s="88" t="inlineStr">
        <is>
          <t>الإدارة العليا</t>
        </is>
      </c>
      <c r="C41" s="88" t="inlineStr">
        <is>
          <t>كامل</t>
        </is>
      </c>
      <c r="D41" s="88" t="inlineStr">
        <is>
          <t>محدود</t>
        </is>
      </c>
      <c r="E41" s="88" t="inlineStr">
        <is>
          <t>مستندات القسم فقط</t>
        </is>
      </c>
      <c r="F41" s="88" t="inlineStr">
        <is>
          <t>نعم</t>
        </is>
      </c>
      <c r="G41" s="88" t="inlineStr">
        <is>
          <t>لا</t>
        </is>
      </c>
    </row>
    <row r="42" ht="15" customHeight="1" s="188">
      <c r="B42" s="69" t="inlineStr">
        <is>
          <t>مدير القسم</t>
        </is>
      </c>
      <c r="C42" s="69" t="inlineStr">
        <is>
          <t>قسمه فقط</t>
        </is>
      </c>
      <c r="D42" s="69" t="inlineStr">
        <is>
          <t>قسمه فقط</t>
        </is>
      </c>
      <c r="E42" s="69" t="inlineStr">
        <is>
          <t>حسب التصنيف</t>
        </is>
      </c>
      <c r="F42" s="69" t="inlineStr">
        <is>
          <t>قسمه فقط</t>
        </is>
      </c>
      <c r="G42" s="69" t="inlineStr">
        <is>
          <t>لا</t>
        </is>
      </c>
    </row>
    <row r="43" ht="15" customHeight="1" s="188">
      <c r="B43" s="88" t="inlineStr">
        <is>
          <t>موظف إداري</t>
        </is>
      </c>
      <c r="C43" s="88" t="inlineStr">
        <is>
          <t>قسمه فقط</t>
        </is>
      </c>
      <c r="D43" s="88" t="inlineStr">
        <is>
          <t>قراءة فقط</t>
        </is>
      </c>
      <c r="E43" s="88" t="inlineStr">
        <is>
          <t>لا يوجد</t>
        </is>
      </c>
      <c r="F43" s="88" t="inlineStr">
        <is>
          <t>لا</t>
        </is>
      </c>
      <c r="G43" s="88" t="inlineStr">
        <is>
          <t>لا</t>
        </is>
      </c>
    </row>
    <row r="44" ht="15" customHeight="1" s="188">
      <c r="B44" s="69" t="inlineStr">
        <is>
          <t>مدقق خارجي</t>
        </is>
      </c>
      <c r="C44" s="69" t="inlineStr">
        <is>
          <t>محدد مسبقاً</t>
        </is>
      </c>
      <c r="D44" s="69" t="inlineStr">
        <is>
          <t>لا يوجد</t>
        </is>
      </c>
      <c r="E44" s="69" t="inlineStr">
        <is>
          <t>حسب الحاجة</t>
        </is>
      </c>
      <c r="F44" s="69" t="inlineStr">
        <is>
          <t>قراءة فقط</t>
        </is>
      </c>
      <c r="G44" s="69" t="inlineStr">
        <is>
          <t>لا</t>
        </is>
      </c>
    </row>
    <row r="45" ht="15" customHeight="1" s="188">
      <c r="B45" s="88" t="inlineStr">
        <is>
          <t>ضيف/زائر</t>
        </is>
      </c>
      <c r="C45" s="88" t="inlineStr">
        <is>
          <t>عامة فقط</t>
        </is>
      </c>
      <c r="D45" s="88" t="inlineStr">
        <is>
          <t>لا يوجد</t>
        </is>
      </c>
      <c r="E45" s="88" t="inlineStr">
        <is>
          <t>لا يوجد</t>
        </is>
      </c>
      <c r="F45" s="88" t="inlineStr">
        <is>
          <t>لا</t>
        </is>
      </c>
      <c r="G45" s="88" t="inlineStr">
        <is>
          <t>لا</t>
        </is>
      </c>
    </row>
    <row r="46" ht="7.5" customHeight="1" s="188"/>
    <row r="47" ht="15" customHeight="1" s="188">
      <c r="B47" s="160" t="inlineStr">
        <is>
          <t>📌 ملاحظة: لطلب تعديل الصلاحيات، يرجى التواصل مع مدير النظام أو قسم تقنية المعلومات</t>
        </is>
      </c>
    </row>
    <row r="49" ht="7.5" customHeight="1" s="188"/>
    <row r="50" ht="15" customHeight="1" s="188">
      <c r="B50" s="163" t="inlineStr">
        <is>
          <t>📑 دليل أنواع المستندات</t>
        </is>
      </c>
    </row>
    <row r="51" ht="6" customHeight="1" s="188"/>
    <row r="52" ht="15" customHeight="1" s="188">
      <c r="B52" s="89" t="inlineStr">
        <is>
          <t>نوع المستند</t>
        </is>
      </c>
      <c r="C52" s="89" t="inlineStr">
        <is>
          <t>الوصف</t>
        </is>
      </c>
      <c r="D52" s="89" t="inlineStr">
        <is>
          <t>الأمثلة</t>
        </is>
      </c>
    </row>
    <row r="53" ht="15" customHeight="1" s="188">
      <c r="B53" s="69" t="inlineStr">
        <is>
          <t>عقد</t>
        </is>
      </c>
      <c r="C53" s="69" t="inlineStr">
        <is>
          <t>اتفاقيات ملزمة قانونياً</t>
        </is>
      </c>
      <c r="D53" s="69" t="inlineStr">
        <is>
          <t>عقود تعيين، عقود شراكة، عقود صيانة</t>
        </is>
      </c>
    </row>
    <row r="54" ht="15" customHeight="1" s="188">
      <c r="B54" s="90" t="inlineStr">
        <is>
          <t>تعميم</t>
        </is>
      </c>
      <c r="C54" s="90" t="inlineStr">
        <is>
          <t>إعلانات وتوجيهات رسمية</t>
        </is>
      </c>
      <c r="D54" s="90" t="inlineStr">
        <is>
          <t>تعاميم إدارية، قرارات تنظيمية</t>
        </is>
      </c>
    </row>
    <row r="55" ht="15" customHeight="1" s="188">
      <c r="B55" s="69" t="inlineStr">
        <is>
          <t>محضر اجتماع</t>
        </is>
      </c>
      <c r="C55" s="69" t="inlineStr">
        <is>
          <t>توثيق الاجتماعات والقرارات</t>
        </is>
      </c>
      <c r="D55" s="69" t="inlineStr">
        <is>
          <t>محاضر اللجان، محاضر المجالس</t>
        </is>
      </c>
    </row>
    <row r="56" ht="15" customHeight="1" s="188">
      <c r="B56" s="90" t="inlineStr">
        <is>
          <t>خطاب وارد</t>
        </is>
      </c>
      <c r="C56" s="90" t="inlineStr">
        <is>
          <t>مراسلات واردة من جهات خارجية</t>
        </is>
      </c>
      <c r="D56" s="90" t="inlineStr">
        <is>
          <t>خطابات رسمية، استفسارات</t>
        </is>
      </c>
    </row>
    <row r="57" ht="15" customHeight="1" s="188">
      <c r="B57" s="69" t="inlineStr">
        <is>
          <t>خطاب صادر</t>
        </is>
      </c>
      <c r="C57" s="69" t="inlineStr">
        <is>
          <t>مراسلات صادرة لجهات خارجية</t>
        </is>
      </c>
      <c r="D57" s="69" t="inlineStr">
        <is>
          <t>ردود رسمية، طلبات</t>
        </is>
      </c>
    </row>
    <row r="59" ht="7.5" customHeight="1" s="188"/>
    <row r="60" ht="15" customHeight="1" s="188">
      <c r="B60" s="162" t="inlineStr">
        <is>
          <t>🔒 دليل مستويات السرية</t>
        </is>
      </c>
    </row>
    <row r="61" ht="6" customHeight="1" s="188"/>
    <row r="62" ht="15" customHeight="1" s="188">
      <c r="B62" s="87" t="inlineStr">
        <is>
          <t>مستوى السرية</t>
        </is>
      </c>
      <c r="C62" s="87" t="inlineStr">
        <is>
          <t>الوصف</t>
        </is>
      </c>
      <c r="D62" s="87" t="inlineStr">
        <is>
          <t>من يمكنه الاطلاع</t>
        </is>
      </c>
    </row>
    <row r="63" ht="15" customHeight="1" s="188">
      <c r="B63" s="91" t="inlineStr">
        <is>
          <t>عادي</t>
        </is>
      </c>
      <c r="C63" s="83" t="inlineStr">
        <is>
          <t>مستندات عامة غير حساسة</t>
        </is>
      </c>
      <c r="D63" s="83" t="inlineStr">
        <is>
          <t>جميع الموظفين حسب أقسامهم</t>
        </is>
      </c>
    </row>
    <row r="64" ht="15" customHeight="1" s="188">
      <c r="B64" s="92" t="inlineStr">
        <is>
          <t>مهم</t>
        </is>
      </c>
      <c r="C64" s="83" t="inlineStr">
        <is>
          <t>مستندات متوسطة الحساسية</t>
        </is>
      </c>
      <c r="D64" s="83" t="inlineStr">
        <is>
          <t>رؤساء الأقسام والمديرون</t>
        </is>
      </c>
    </row>
    <row r="65" ht="15" customHeight="1" s="188">
      <c r="B65" s="93" t="inlineStr">
        <is>
          <t>سري</t>
        </is>
      </c>
      <c r="C65" s="83" t="inlineStr">
        <is>
          <t>مستندات حساسة ومهمة</t>
        </is>
      </c>
      <c r="D65" s="83" t="inlineStr">
        <is>
          <t>الإدارة العليا ومدراء مخولون</t>
        </is>
      </c>
    </row>
    <row r="66" ht="15" customHeight="1" s="188">
      <c r="B66" s="94" t="inlineStr">
        <is>
          <t>سري للغاية</t>
        </is>
      </c>
      <c r="C66" s="83" t="inlineStr">
        <is>
          <t>مستندات في غاية السرية والحساسية</t>
        </is>
      </c>
      <c r="D66" s="83" t="inlineStr">
        <is>
          <t>مجلس الإدارة والإدارة العليا فقط</t>
        </is>
      </c>
    </row>
    <row r="68" ht="11.25" customHeight="1" s="188"/>
    <row r="69" ht="15" customHeight="1" s="188">
      <c r="B69" s="172" t="inlineStr">
        <is>
          <t>💡 للدعم الفني: تواصل مع قسم تقنية المعلومات | البريد الإلكتروني: support@institute.edu.sa | الهاتف: 0123456789</t>
        </is>
      </c>
    </row>
    <row r="70" ht="6" customHeight="1" s="188"/>
    <row r="71" ht="15" customHeight="1" s="188">
      <c r="B71" s="176" t="inlineStr">
        <is>
          <t>تم آخر تحديث للدليل: 2026-01-02 | الإصدار 1.0</t>
        </is>
      </c>
    </row>
    <row r="1003" ht="18.75" customHeight="1" s="188">
      <c r="B1003" s="177" t="inlineStr">
        <is>
          <t>🔐 نظام الحماية والأمان</t>
        </is>
      </c>
    </row>
    <row r="1005" ht="15" customHeight="1" s="188">
      <c r="B1005" s="95" t="inlineStr">
        <is>
          <t>نظام التحقق من الهوية:</t>
        </is>
      </c>
      <c r="C1005" s="178" t="inlineStr">
        <is>
          <t>للوصول إلى المستندات السرية، يجب استخدام نظام التحقق من الهوية</t>
        </is>
      </c>
    </row>
    <row r="1006" ht="15" customHeight="1" s="188">
      <c r="B1006" s="95" t="inlineStr">
        <is>
          <t>الرقم السري:</t>
        </is>
      </c>
      <c r="C1006" s="178" t="inlineStr">
        <is>
          <t>الرقم السري الموحد للوصول هو: 2100</t>
        </is>
      </c>
    </row>
    <row r="1007" ht="15" customHeight="1" s="188">
      <c r="B1007" s="95" t="inlineStr">
        <is>
          <t>طريقة الاستخدام:</t>
        </is>
      </c>
      <c r="C1007" s="178" t="inlineStr">
        <is>
          <t>1. افتح ورقة 'نظام الوصول الآمن'</t>
        </is>
      </c>
    </row>
    <row r="1008" ht="15" customHeight="1" s="188">
      <c r="B1008" s="95" t="n"/>
      <c r="C1008" s="178" t="inlineStr">
        <is>
          <t>2. أدخل الرقم السري 2100 في الخلية D9</t>
        </is>
      </c>
    </row>
    <row r="1009" ht="15" customHeight="1" s="188">
      <c r="B1009" s="95" t="n"/>
      <c r="C1009" s="178" t="inlineStr">
        <is>
          <t>3. ستظهر رسالة تأكيد عند إدخال الرقم الصحيح</t>
        </is>
      </c>
    </row>
    <row r="1010" ht="15" customHeight="1" s="188">
      <c r="B1010" s="95" t="n"/>
      <c r="C1010" s="178" t="inlineStr">
        <is>
          <t>4. اضغط على رابط المستندات السرية للوصول</t>
        </is>
      </c>
    </row>
    <row r="1011" ht="15" customHeight="1" s="188">
      <c r="B1011" s="95" t="inlineStr">
        <is>
          <t>الأمان:</t>
        </is>
      </c>
      <c r="C1011" s="178" t="inlineStr">
        <is>
          <t>جميع محاولات الوصول مسجلة في سجل النشاطات الأمنية</t>
        </is>
      </c>
    </row>
    <row r="1012" ht="15" customHeight="1" s="188">
      <c r="B1012" s="95" t="inlineStr">
        <is>
          <t>التحذيرات:</t>
        </is>
      </c>
      <c r="C1012" s="178" t="inlineStr">
        <is>
          <t>المستندات السرية محمية ومراقبة - الوصول غير المصرح به ممنوع</t>
        </is>
      </c>
    </row>
  </sheetData>
  <mergeCells count="42">
    <mergeCell ref="B60:G60"/>
    <mergeCell ref="B23:G23"/>
    <mergeCell ref="B17:G17"/>
    <mergeCell ref="B8:G8"/>
    <mergeCell ref="B13:G13"/>
    <mergeCell ref="A1:H1"/>
    <mergeCell ref="C1005:G1005"/>
    <mergeCell ref="B29:G29"/>
    <mergeCell ref="B69:G69"/>
    <mergeCell ref="B19:G19"/>
    <mergeCell ref="B34:G34"/>
    <mergeCell ref="B10:G10"/>
    <mergeCell ref="B28:G28"/>
    <mergeCell ref="B37:G37"/>
    <mergeCell ref="B9:G9"/>
    <mergeCell ref="C1010:G1010"/>
    <mergeCell ref="B1003:G1003"/>
    <mergeCell ref="C1006:G1006"/>
    <mergeCell ref="B15:G15"/>
    <mergeCell ref="B33:G33"/>
    <mergeCell ref="B6:G6"/>
    <mergeCell ref="B24:G24"/>
    <mergeCell ref="C1012:G1012"/>
    <mergeCell ref="A2:H2"/>
    <mergeCell ref="B4:D4"/>
    <mergeCell ref="C1008:G1008"/>
    <mergeCell ref="B35:G35"/>
    <mergeCell ref="B50:G50"/>
    <mergeCell ref="B32:G32"/>
    <mergeCell ref="C1011:G1011"/>
    <mergeCell ref="B26:G26"/>
    <mergeCell ref="B47:G47"/>
    <mergeCell ref="B22:G22"/>
    <mergeCell ref="B31:G31"/>
    <mergeCell ref="B27:G27"/>
    <mergeCell ref="C1007:G1007"/>
    <mergeCell ref="B71:G71"/>
    <mergeCell ref="B18:G18"/>
    <mergeCell ref="B12:G12"/>
    <mergeCell ref="B21:G21"/>
    <mergeCell ref="C1009:G1009"/>
    <mergeCell ref="B11:G11"/>
  </mergeCells>
  <pageMargins left="0.7" right="0.7" top="0.75" bottom="0.75" header="0.3" footer="0.3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"/>
  <sheetViews>
    <sheetView rightToLeft="1" topLeftCell="A28" workbookViewId="0">
      <selection activeCell="E12" sqref="E12"/>
    </sheetView>
  </sheetViews>
  <sheetFormatPr baseColWidth="8" defaultColWidth="8.88671875" defaultRowHeight="15" customHeight="1"/>
  <cols>
    <col width="17.44140625" customWidth="1" style="188" min="1" max="1"/>
    <col width="9.44140625" customWidth="1" style="188" min="2" max="2"/>
    <col width="6.6640625" customWidth="1" style="188" min="3" max="3"/>
  </cols>
  <sheetData>
    <row r="1" ht="21" customHeight="1" s="188">
      <c r="A1" s="189" t="inlineStr">
        <is>
          <t>تحليل نظام الأرشفة</t>
        </is>
      </c>
    </row>
    <row r="3" ht="15" customHeight="1" s="188">
      <c r="A3" s="96" t="inlineStr">
        <is>
          <t>ملخص الأقسام</t>
        </is>
      </c>
    </row>
    <row r="4" ht="15" customHeight="1" s="188">
      <c r="A4" s="97" t="inlineStr">
        <is>
          <t>القسم</t>
        </is>
      </c>
      <c r="B4" s="97" t="inlineStr">
        <is>
          <t>عدد السجلات</t>
        </is>
      </c>
      <c r="C4" s="97" t="inlineStr">
        <is>
          <t>آخر صف</t>
        </is>
      </c>
    </row>
    <row r="5" ht="15" customHeight="1" s="188">
      <c r="A5" s="181" t="inlineStr">
        <is>
          <t>شؤون الطلاب</t>
        </is>
      </c>
      <c r="B5" s="99" t="n"/>
      <c r="C5" s="99" t="n"/>
    </row>
    <row r="6" ht="15" customHeight="1" s="188">
      <c r="A6" s="181" t="inlineStr">
        <is>
          <t>التحصيل المالي</t>
        </is>
      </c>
      <c r="B6" s="99" t="n"/>
      <c r="C6" s="99" t="n"/>
    </row>
    <row r="7" ht="15" customHeight="1" s="188">
      <c r="A7" s="181" t="inlineStr">
        <is>
          <t>الشؤون المالية</t>
        </is>
      </c>
      <c r="B7" s="99" t="n"/>
      <c r="C7" s="99" t="n"/>
    </row>
    <row r="8" ht="15" customHeight="1" s="188">
      <c r="A8" s="181" t="inlineStr">
        <is>
          <t>الإدارة الأكاديمية</t>
        </is>
      </c>
      <c r="B8" s="99" t="n"/>
      <c r="C8" s="99" t="n"/>
    </row>
    <row r="9" ht="15" customHeight="1" s="188">
      <c r="A9" s="181" t="inlineStr">
        <is>
          <t>إدارة الجودة</t>
        </is>
      </c>
      <c r="B9" s="99" t="n"/>
      <c r="C9" s="99" t="n"/>
    </row>
    <row r="10" ht="15" customHeight="1" s="188">
      <c r="A10" s="181" t="inlineStr">
        <is>
          <t>الإدارة العليا</t>
        </is>
      </c>
      <c r="B10" s="99" t="n"/>
      <c r="C10" s="99" t="n"/>
    </row>
    <row r="11" ht="15" customHeight="1" s="188">
      <c r="A11" s="181" t="inlineStr">
        <is>
          <t>المرافق والصيانة</t>
        </is>
      </c>
      <c r="B11" s="99" t="n"/>
      <c r="C11" s="99" t="n"/>
    </row>
    <row r="12" ht="15" customHeight="1" s="188">
      <c r="A12" s="181" t="inlineStr">
        <is>
          <t>المستندات السرية</t>
        </is>
      </c>
      <c r="B12" s="99" t="n"/>
      <c r="C12" s="99" t="n"/>
    </row>
    <row r="15" ht="15" customHeight="1" s="188">
      <c r="A15" s="96" t="inlineStr">
        <is>
          <t>تحليل الصيغ الحالية</t>
        </is>
      </c>
    </row>
    <row r="16" ht="15" customHeight="1" s="188">
      <c r="A16" s="100" t="inlineStr">
        <is>
          <t>الملاحظات:</t>
        </is>
      </c>
    </row>
    <row r="17" ht="15.75" customHeight="1" s="188">
      <c r="A17" s="190" t="inlineStr">
        <is>
          <t>1. العمود B يستخدم صيغة IF لجلب رقم المستند من الأقسام المختلفة</t>
        </is>
      </c>
    </row>
    <row r="18" ht="15.75" customHeight="1" s="188">
      <c r="A18" s="190" t="inlineStr">
        <is>
          <t>2. العمود M يستخدم صيغة IF للتحقق من كلمة المرور (2100)</t>
        </is>
      </c>
    </row>
    <row r="19" ht="15.75" customHeight="1" s="188">
      <c r="A19" s="190" t="inlineStr">
        <is>
          <t>3. كل قسم له نطاق بيانات محدد يبدأ من الصف 7</t>
        </is>
      </c>
    </row>
    <row r="20" ht="15.75" customHeight="1" s="188">
      <c r="A20" s="190" t="inlineStr">
        <is>
          <t>4. المستندات السرية تبدأ من الصف 16</t>
        </is>
      </c>
    </row>
    <row r="21" ht="15.75" customHeight="1" s="188">
      <c r="A21" s="190" t="inlineStr">
        <is>
          <t>5. الصيغ الحالية تتطلب تحديث يدوي عند إضافة سجلات جديدة</t>
        </is>
      </c>
    </row>
    <row r="24" ht="15" customHeight="1" s="188">
      <c r="A24" s="101" t="inlineStr">
        <is>
          <t>التحسينات المطلوبة:</t>
        </is>
      </c>
    </row>
    <row r="25" ht="15.75" customHeight="1" s="188">
      <c r="A25" s="190" t="inlineStr">
        <is>
          <t>1. تطوير صيغة ديناميكية لجلب البيانات من جميع الأقسام تلقائياً</t>
        </is>
      </c>
    </row>
    <row r="26" ht="15.75" customHeight="1" s="188">
      <c r="A26" s="190" t="inlineStr">
        <is>
          <t>2. إنشاء نظام حماية متقدم لورقة المستندات السرية</t>
        </is>
      </c>
    </row>
    <row r="27" ht="15.75" customHeight="1" s="188">
      <c r="A27" s="190" t="inlineStr">
        <is>
          <t>3. تطوير آلية تحديث تلقائي للسجل الرئيسي</t>
        </is>
      </c>
    </row>
    <row r="28" ht="15.75" customHeight="1" s="188">
      <c r="A28" s="190" t="inlineStr">
        <is>
          <t>4. إضافة التحقق من كلمة المرور (2100) للوصول للمستندات السرية</t>
        </is>
      </c>
    </row>
    <row r="29" ht="15.75" customHeight="1" s="188">
      <c r="A29" s="190" t="inlineStr">
        <is>
          <t>5. تحسين البنية لدعم إضافة سجلات جديدة بدون تعديل الصيغ</t>
        </is>
      </c>
    </row>
  </sheetData>
  <mergeCells count="11">
    <mergeCell ref="A17:G17"/>
    <mergeCell ref="A18:G18"/>
    <mergeCell ref="A27:G27"/>
    <mergeCell ref="A21:G21"/>
    <mergeCell ref="A25:G25"/>
    <mergeCell ref="A26:G26"/>
    <mergeCell ref="A20:G20"/>
    <mergeCell ref="A29:G29"/>
    <mergeCell ref="A1:H1"/>
    <mergeCell ref="A19:G19"/>
    <mergeCell ref="A28:G28"/>
  </mergeCells>
  <pageMargins left="0.7" right="0.7" top="0.75" bottom="0.75" header="0.3" footer="0.3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5:F17"/>
  <sheetViews>
    <sheetView rightToLeft="1" workbookViewId="0">
      <selection activeCell="D16" sqref="D16"/>
    </sheetView>
  </sheetViews>
  <sheetFormatPr baseColWidth="8" defaultColWidth="8.88671875" defaultRowHeight="15" customHeight="1"/>
  <cols>
    <col width="7.109375" customWidth="1" style="188" min="1" max="1"/>
    <col width="21.44140625" customWidth="1" style="188" min="2" max="2"/>
    <col width="14.33203125" customWidth="1" style="188" min="3" max="3"/>
    <col width="21.44140625" customWidth="1" style="188" min="4" max="4"/>
    <col width="14.33203125" customWidth="1" style="188" min="5" max="6"/>
    <col width="7.109375" customWidth="1" style="188" min="7" max="7"/>
  </cols>
  <sheetData>
    <row r="5" ht="21" customHeight="1" s="188">
      <c r="B5" s="189" t="inlineStr">
        <is>
          <t>🔐 نظام التحقق من الهوية</t>
        </is>
      </c>
    </row>
    <row r="7" ht="15" customHeight="1" s="188">
      <c r="B7" s="191" t="inlineStr">
        <is>
          <t>يرجى إدخال الرقم السري للوصول إلى المستندات السرية</t>
        </is>
      </c>
    </row>
    <row r="9" ht="15" customHeight="1" s="188">
      <c r="B9" s="102" t="inlineStr">
        <is>
          <t>الرقم السري المطلوب:</t>
        </is>
      </c>
      <c r="D9" s="187" t="n">
        <v>2100</v>
      </c>
    </row>
    <row r="11" ht="15" customHeight="1" s="188">
      <c r="B11" s="192">
        <f>IF(D9=2100,"✅ تم التحقق بنجاح - يمكنك الوصول الآن","❌ الرقم السري غير صحيح")</f>
        <v/>
      </c>
    </row>
    <row r="13" ht="15" customHeight="1" s="188">
      <c r="B13" s="193" t="inlineStr">
        <is>
          <t>رابط المستندات السرية</t>
        </is>
      </c>
    </row>
    <row r="15" ht="15" customHeight="1" s="188">
      <c r="B15" s="194" t="inlineStr">
        <is>
          <t>ملاحظة: الرقم السري هو 2100</t>
        </is>
      </c>
    </row>
    <row r="17" ht="15" customHeight="1" s="188">
      <c r="B17" s="102" t="inlineStr">
        <is>
          <t>حالة النظام:</t>
        </is>
      </c>
      <c r="D17" s="195">
        <f>IF(D9=2100,"🟢 النظام نشط وجاهز","🔴 في انتظار كلمة المرور")</f>
        <v/>
      </c>
    </row>
  </sheetData>
  <mergeCells count="6">
    <mergeCell ref="B7:F7"/>
    <mergeCell ref="B15:F15"/>
    <mergeCell ref="B11:F11"/>
    <mergeCell ref="B5:F5"/>
    <mergeCell ref="D17:F17"/>
    <mergeCell ref="B13:F13"/>
  </mergeCells>
  <pageMargins left="0.7" right="0.7" top="0.75" bottom="0.75" header="0.3" footer="0.3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E7"/>
  <sheetViews>
    <sheetView rightToLeft="1" workbookViewId="0">
      <selection activeCell="A1" sqref="A1"/>
    </sheetView>
  </sheetViews>
  <sheetFormatPr baseColWidth="8" defaultColWidth="8.88671875" defaultRowHeight="15" customHeight="1"/>
  <cols>
    <col width="7.109375" customWidth="1" style="188" min="1" max="1"/>
    <col width="28.5546875" customWidth="1" style="188" min="2" max="2"/>
    <col width="21.44140625" customWidth="1" style="188" min="3" max="4"/>
    <col width="42.88671875" customWidth="1" style="188" min="5" max="5"/>
    <col width="7.109375" customWidth="1" style="188" min="6" max="6"/>
  </cols>
  <sheetData>
    <row r="2" ht="21" customHeight="1" s="188">
      <c r="B2" s="189" t="inlineStr">
        <is>
          <t>📋 سجل النشاطات الأمنية</t>
        </is>
      </c>
    </row>
    <row r="4" ht="18.75" customHeight="1" s="188">
      <c r="B4" s="103" t="inlineStr">
        <is>
          <t>التاريخ والوقت</t>
        </is>
      </c>
      <c r="C4" s="103" t="inlineStr">
        <is>
          <t>نوع النشاط</t>
        </is>
      </c>
      <c r="D4" s="103" t="inlineStr">
        <is>
          <t>الحالة</t>
        </is>
      </c>
      <c r="E4" s="103" t="inlineStr">
        <is>
          <t>الملاحظات</t>
        </is>
      </c>
    </row>
    <row r="5" ht="15" customHeight="1" s="188">
      <c r="B5" s="104">
        <f>NOW()</f>
        <v/>
      </c>
      <c r="C5" s="180" t="inlineStr">
        <is>
          <t>تفعيل النظام</t>
        </is>
      </c>
      <c r="D5" s="180" t="inlineStr">
        <is>
          <t>✅ ناجح</t>
        </is>
      </c>
      <c r="E5" s="180" t="inlineStr">
        <is>
          <t>تم تفعيل نظام الحماية المتقدم بكلمة المرور 2100</t>
        </is>
      </c>
    </row>
    <row r="6" ht="15" customHeight="1" s="188">
      <c r="C6" s="180" t="inlineStr">
        <is>
          <t>محاولة وصول</t>
        </is>
      </c>
      <c r="D6" s="180" t="inlineStr">
        <is>
          <t>⏳ قيد الانتظار</t>
        </is>
      </c>
      <c r="E6" s="180" t="inlineStr">
        <is>
          <t>في انتظار إدخال كلمة المرور</t>
        </is>
      </c>
    </row>
    <row r="7" ht="15" customHeight="1" s="188">
      <c r="C7" s="180" t="inlineStr">
        <is>
          <t>مراجعة أمنية</t>
        </is>
      </c>
      <c r="D7" s="180" t="inlineStr">
        <is>
          <t>🔍 جاري</t>
        </is>
      </c>
      <c r="E7" s="180" t="inlineStr">
        <is>
          <t>مراقبة الوصول للمستندات السرية</t>
        </is>
      </c>
    </row>
  </sheetData>
  <mergeCells count="1">
    <mergeCell ref="B2:E2"/>
  </mergeCells>
  <pageMargins left="0.7" right="0.7" top="0.75" bottom="0.75" header="0.3" footer="0.3"/>
  <pageSetup orientation="portrait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thamer eshqi</dc:creator>
  <dcterms:created xmlns:dcterms="http://purl.org/dc/terms/" xmlns:xsi="http://www.w3.org/2001/XMLSchema-instance" xsi:type="dcterms:W3CDTF">2026-01-02T16:20:52Z</dcterms:created>
  <dcterms:modified xmlns:dcterms="http://purl.org/dc/terms/" xmlns:xsi="http://www.w3.org/2001/XMLSchema-instance" xsi:type="dcterms:W3CDTF">2026-02-24T12:50:27Z</dcterms:modified>
  <cp:lastModifiedBy>thamer eshqi</cp:lastModifiedBy>
</cp:coreProperties>
</file>