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r.ADNAN Abu hameed\OneDrive\Desktop\مليكة\"/>
    </mc:Choice>
  </mc:AlternateContent>
  <bookViews>
    <workbookView xWindow="0" yWindow="0" windowWidth="28800" windowHeight="12585"/>
  </bookViews>
  <sheets>
    <sheet name="Payroll" sheetId="1" r:id="rId1"/>
    <sheet name="Excluded" sheetId="2" r:id="rId2"/>
  </sheets>
  <calcPr calcId="152511"/>
</workbook>
</file>

<file path=xl/calcChain.xml><?xml version="1.0" encoding="utf-8"?>
<calcChain xmlns="http://schemas.openxmlformats.org/spreadsheetml/2006/main">
  <c r="N34" i="1" l="1"/>
  <c r="M34" i="1"/>
  <c r="L34" i="1"/>
  <c r="K34" i="1"/>
  <c r="J34" i="1"/>
  <c r="I34" i="1"/>
  <c r="H34" i="1"/>
  <c r="G34" i="1"/>
  <c r="F34" i="1"/>
</calcChain>
</file>

<file path=xl/sharedStrings.xml><?xml version="1.0" encoding="utf-8"?>
<sst xmlns="http://schemas.openxmlformats.org/spreadsheetml/2006/main" count="163" uniqueCount="87">
  <si>
    <t>مسير الرواتب لـ 26-10-2026 - المسير العام</t>
  </si>
  <si>
    <t>الرقم الوظيفي</t>
  </si>
  <si>
    <t>اسم الموظف</t>
  </si>
  <si>
    <t>الادارة/القسم</t>
  </si>
  <si>
    <t>الجنسية</t>
  </si>
  <si>
    <t>الراتب الأساسي</t>
  </si>
  <si>
    <t>بدل سكن</t>
  </si>
  <si>
    <t xml:space="preserve">بدل طبيعة عمل </t>
  </si>
  <si>
    <t>بدل مواصلات</t>
  </si>
  <si>
    <t>بدلات اخرى</t>
  </si>
  <si>
    <t>إجمالي الراتب</t>
  </si>
  <si>
    <t>التأمينات الاجتماعية</t>
  </si>
  <si>
    <t>استقطاع سلفة</t>
  </si>
  <si>
    <t>صافي المبلغ</t>
  </si>
  <si>
    <t>118</t>
  </si>
  <si>
    <t>عبدالرازق عبد الغني ماهل ابراهيم</t>
  </si>
  <si>
    <t>إدارة الشؤون الأكاديمية</t>
  </si>
  <si>
    <t>السودان</t>
  </si>
  <si>
    <t>175</t>
  </si>
  <si>
    <t>عبدالعزيز عبدالله المعاوي</t>
  </si>
  <si>
    <t xml:space="preserve">إدارة شؤون الطلاب </t>
  </si>
  <si>
    <t>المملكة العربية السعودية</t>
  </si>
  <si>
    <t>128</t>
  </si>
  <si>
    <t>عبدالستار  كافيل</t>
  </si>
  <si>
    <t>الهند</t>
  </si>
  <si>
    <t>135</t>
  </si>
  <si>
    <t>عبدالرحمن عبدالعزيز البطحي</t>
  </si>
  <si>
    <t>الموارد البشرية</t>
  </si>
  <si>
    <t>116</t>
  </si>
  <si>
    <t>عبدالرحمن فكري نعمان الدغيش</t>
  </si>
  <si>
    <t>اليمن</t>
  </si>
  <si>
    <t>033</t>
  </si>
  <si>
    <t>افراح  محمد  الحربي</t>
  </si>
  <si>
    <t>126</t>
  </si>
  <si>
    <t xml:space="preserve">احمد احمد فتحى </t>
  </si>
  <si>
    <t xml:space="preserve">إدارة التسويق </t>
  </si>
  <si>
    <t>مصر</t>
  </si>
  <si>
    <t>127</t>
  </si>
  <si>
    <t>احمد ابراهيم  واصلي</t>
  </si>
  <si>
    <t>140</t>
  </si>
  <si>
    <t>علاء ثابت عبد الرحيم خليفة</t>
  </si>
  <si>
    <t>112</t>
  </si>
  <si>
    <t>علي يحيى محمد نشيلي</t>
  </si>
  <si>
    <t>125</t>
  </si>
  <si>
    <t>اريج صالح علي الشائع</t>
  </si>
  <si>
    <t>00029</t>
  </si>
  <si>
    <t>فهيد محمد الدوسري</t>
  </si>
  <si>
    <t>إدارة الجودة</t>
  </si>
  <si>
    <t>110</t>
  </si>
  <si>
    <t>فيصل فهد الزحوفي</t>
  </si>
  <si>
    <t>121</t>
  </si>
  <si>
    <t>خالد سرور  السلمي</t>
  </si>
  <si>
    <t>108</t>
  </si>
  <si>
    <t>محمد حسن عبد العال</t>
  </si>
  <si>
    <t>107</t>
  </si>
  <si>
    <t>محمد مصطفى احمد</t>
  </si>
  <si>
    <t>الإدارة المالية</t>
  </si>
  <si>
    <t>295</t>
  </si>
  <si>
    <t>محمد ابراهيم التميمي</t>
  </si>
  <si>
    <t>00027</t>
  </si>
  <si>
    <t>محمد محمود الشنهابي</t>
  </si>
  <si>
    <t>104</t>
  </si>
  <si>
    <t>نادر محمد بخات الزهراني</t>
  </si>
  <si>
    <t>20</t>
  </si>
  <si>
    <t>عبيد  مشعل الشمري</t>
  </si>
  <si>
    <t>137</t>
  </si>
  <si>
    <t>عمر  محمد عبدالرحمن بن نومان</t>
  </si>
  <si>
    <t>120</t>
  </si>
  <si>
    <t>رائد سعيد بن عبدالله الغامدي</t>
  </si>
  <si>
    <t>119</t>
  </si>
  <si>
    <t>صالح سعد صالح الحميدي</t>
  </si>
  <si>
    <t>00028</t>
  </si>
  <si>
    <t>تميم احمد الدفاع</t>
  </si>
  <si>
    <t>141</t>
  </si>
  <si>
    <t>ثامر   ابراهيم هاشم عشقي</t>
  </si>
  <si>
    <t>103</t>
  </si>
  <si>
    <t>وليد محسن جابر يوسف</t>
  </si>
  <si>
    <t>•	إدارة  IT</t>
  </si>
  <si>
    <t>102</t>
  </si>
  <si>
    <t>ياسر سليمان الحويل</t>
  </si>
  <si>
    <t>المجموع</t>
  </si>
  <si>
    <t>الموظفين المستبعدين لـ 26-10-2026 - المسير العام</t>
  </si>
  <si>
    <t>سبب الاستبعاد</t>
  </si>
  <si>
    <t>اضيف بواسطة</t>
  </si>
  <si>
    <t>136</t>
  </si>
  <si>
    <t>صالح عبدالله البطحى</t>
  </si>
  <si>
    <t>اجمالي صافي الراتب اقل من الصفر (0٫00)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</si>
</sst>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D1"/>
      </patternFill>
    </fill>
    <fill>
      <patternFill patternType="solid">
        <fgColor rgb="FFFFCC99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2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4" fontId="0" fillId="0" borderId="0" xfId="0" applyNumberFormat="1" applyFont="1" applyAlignment="1" applyProtection="1">
      <alignment horizontal="center"/>
    </xf>
    <xf numFmtId="0" fontId="1" fillId="3" borderId="7" xfId="0" applyNumberFormat="1" applyFont="1" applyFill="1" applyBorder="1" applyAlignment="1" applyProtection="1">
      <alignment horizontal="center"/>
    </xf>
    <xf numFmtId="0" fontId="1" fillId="3" borderId="7" xfId="0" applyNumberFormat="1" applyFont="1" applyFill="1" applyBorder="1" applyProtection="1"/>
    <xf numFmtId="4" fontId="1" fillId="3" borderId="7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B5:N34">
  <autoFilter ref="B5:N34"/>
  <tableColumns count="13">
    <tableColumn id="1" name="الرقم الوظيفي"/>
    <tableColumn id="2" name="اسم الموظف"/>
    <tableColumn id="3" name="الادارة/القسم"/>
    <tableColumn id="4" name="الجنسية"/>
    <tableColumn id="5" name="الراتب الأساسي"/>
    <tableColumn id="6" name="بدل سكن"/>
    <tableColumn id="7" name="بدل طبيعة عمل "/>
    <tableColumn id="8" name="بدل مواصلات"/>
    <tableColumn id="9" name="بدلات اخرى"/>
    <tableColumn id="10" name="إجمالي الراتب"/>
    <tableColumn id="11" name="التأمينات الاجتماعية"/>
    <tableColumn id="12" name="استقطاع سلفة"/>
    <tableColumn id="13" name="صافي المبلغ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5:E6">
  <autoFilter ref="B5:E6"/>
  <tableColumns count="4">
    <tableColumn id="1" name="الرقم الوظيفي"/>
    <tableColumn id="2" name="اسم الموظف"/>
    <tableColumn id="3" name="سبب الاستبعاد"/>
    <tableColumn id="4" name="اضيف بواسطة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4"/>
  <sheetViews>
    <sheetView rightToLeft="1" tabSelected="1" workbookViewId="0">
      <selection activeCell="B11" sqref="B11:N11"/>
    </sheetView>
  </sheetViews>
  <sheetFormatPr defaultRowHeight="15"/>
  <cols>
    <col min="2" max="2" width="13.140625" customWidth="1"/>
    <col min="3" max="3" width="24.7109375" customWidth="1"/>
    <col min="4" max="4" width="17.42578125" customWidth="1"/>
    <col min="5" max="5" width="19" customWidth="1"/>
    <col min="6" max="6" width="14.140625" customWidth="1"/>
    <col min="7" max="7" width="10.5703125" customWidth="1"/>
    <col min="8" max="8" width="15.140625" customWidth="1"/>
    <col min="9" max="9" width="13.7109375" customWidth="1"/>
    <col min="10" max="10" width="12.42578125" customWidth="1"/>
    <col min="11" max="11" width="13.140625" customWidth="1"/>
    <col min="12" max="12" width="17.85546875" customWidth="1"/>
    <col min="13" max="13" width="14" customWidth="1"/>
    <col min="14" max="14" width="11.85546875" customWidth="1"/>
  </cols>
  <sheetData>
    <row r="2" spans="2:14">
      <c r="B2" s="6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  <c r="L2" s="7" t="s">
        <v>0</v>
      </c>
      <c r="M2" s="7" t="s">
        <v>0</v>
      </c>
      <c r="N2" s="8" t="s">
        <v>0</v>
      </c>
    </row>
    <row r="3" spans="2:14">
      <c r="B3" s="9" t="s">
        <v>0</v>
      </c>
      <c r="C3" s="10" t="s">
        <v>0</v>
      </c>
      <c r="D3" s="10" t="s">
        <v>0</v>
      </c>
      <c r="E3" s="10" t="s">
        <v>0</v>
      </c>
      <c r="F3" s="10" t="s">
        <v>0</v>
      </c>
      <c r="G3" s="10" t="s">
        <v>0</v>
      </c>
      <c r="H3" s="10" t="s">
        <v>0</v>
      </c>
      <c r="I3" s="10" t="s">
        <v>0</v>
      </c>
      <c r="J3" s="10" t="s">
        <v>0</v>
      </c>
      <c r="K3" s="10" t="s">
        <v>0</v>
      </c>
      <c r="L3" s="10" t="s">
        <v>0</v>
      </c>
      <c r="M3" s="10" t="s">
        <v>0</v>
      </c>
      <c r="N3" s="11" t="s">
        <v>0</v>
      </c>
    </row>
    <row r="5" spans="2:14"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s="1" t="s">
        <v>10</v>
      </c>
      <c r="L5" s="1" t="s">
        <v>11</v>
      </c>
      <c r="M5" s="1" t="s">
        <v>12</v>
      </c>
      <c r="N5" s="1" t="s">
        <v>13</v>
      </c>
    </row>
    <row r="6" spans="2:14">
      <c r="B6" s="1" t="s">
        <v>14</v>
      </c>
      <c r="C6" t="s">
        <v>15</v>
      </c>
      <c r="D6" t="s">
        <v>16</v>
      </c>
      <c r="E6" t="s">
        <v>17</v>
      </c>
      <c r="F6" s="2">
        <v>4815</v>
      </c>
      <c r="G6" s="2">
        <v>1204</v>
      </c>
      <c r="I6" s="2">
        <v>481</v>
      </c>
      <c r="K6" s="2">
        <v>6500</v>
      </c>
      <c r="N6" s="2">
        <v>6500</v>
      </c>
    </row>
    <row r="7" spans="2:14">
      <c r="B7" s="1" t="s">
        <v>18</v>
      </c>
      <c r="C7" t="s">
        <v>19</v>
      </c>
      <c r="D7" t="s">
        <v>20</v>
      </c>
      <c r="E7" t="s">
        <v>21</v>
      </c>
      <c r="F7" s="2">
        <v>4070</v>
      </c>
      <c r="G7" s="2">
        <v>1018</v>
      </c>
      <c r="H7" s="2">
        <v>1000</v>
      </c>
      <c r="I7" s="2">
        <v>366</v>
      </c>
      <c r="K7" s="2">
        <v>6454</v>
      </c>
      <c r="L7" s="2">
        <v>-454</v>
      </c>
      <c r="N7" s="2">
        <v>6000</v>
      </c>
    </row>
    <row r="8" spans="2:14">
      <c r="B8" s="1" t="s">
        <v>22</v>
      </c>
      <c r="C8" t="s">
        <v>23</v>
      </c>
      <c r="D8" t="s">
        <v>16</v>
      </c>
      <c r="E8" t="s">
        <v>24</v>
      </c>
      <c r="F8" s="2">
        <v>1852</v>
      </c>
      <c r="G8" s="2">
        <v>463</v>
      </c>
      <c r="I8" s="2">
        <v>185</v>
      </c>
      <c r="J8" s="2">
        <v>750</v>
      </c>
      <c r="K8" s="2">
        <v>3250</v>
      </c>
      <c r="N8" s="2">
        <v>3250</v>
      </c>
    </row>
    <row r="9" spans="2:14">
      <c r="B9" s="1" t="s">
        <v>25</v>
      </c>
      <c r="C9" t="s">
        <v>26</v>
      </c>
      <c r="D9" t="s">
        <v>27</v>
      </c>
      <c r="E9" t="s">
        <v>21</v>
      </c>
      <c r="F9" s="2">
        <v>4445</v>
      </c>
      <c r="G9" s="2">
        <v>1111</v>
      </c>
      <c r="H9" s="2">
        <v>1000</v>
      </c>
      <c r="I9" s="2">
        <v>444</v>
      </c>
      <c r="K9" s="2">
        <v>7000</v>
      </c>
      <c r="L9" s="2">
        <v>-632</v>
      </c>
      <c r="N9" s="2">
        <v>6368</v>
      </c>
    </row>
    <row r="10" spans="2:14">
      <c r="B10" s="1" t="s">
        <v>28</v>
      </c>
      <c r="C10" t="s">
        <v>29</v>
      </c>
      <c r="D10" t="s">
        <v>16</v>
      </c>
      <c r="E10" t="s">
        <v>30</v>
      </c>
      <c r="F10" s="2">
        <v>4445</v>
      </c>
      <c r="G10" s="2">
        <v>1111</v>
      </c>
      <c r="I10" s="2">
        <v>444</v>
      </c>
      <c r="K10" s="2">
        <v>6000</v>
      </c>
      <c r="N10" s="2">
        <v>6000</v>
      </c>
    </row>
    <row r="11" spans="2:14">
      <c r="B11" s="1"/>
      <c r="F11" s="2"/>
      <c r="G11" s="2"/>
      <c r="I11" s="2"/>
      <c r="J11" s="2"/>
      <c r="K11" s="2"/>
      <c r="N11" s="2"/>
    </row>
    <row r="12" spans="2:14">
      <c r="B12" s="1" t="s">
        <v>31</v>
      </c>
      <c r="C12" t="s">
        <v>32</v>
      </c>
      <c r="D12" t="s">
        <v>16</v>
      </c>
      <c r="E12" t="s">
        <v>21</v>
      </c>
      <c r="F12" s="2">
        <v>2963</v>
      </c>
      <c r="G12" s="2">
        <v>741</v>
      </c>
      <c r="I12" s="2">
        <v>296</v>
      </c>
      <c r="K12" s="2">
        <v>4000</v>
      </c>
      <c r="L12" s="2">
        <v>-333</v>
      </c>
      <c r="N12" s="2">
        <v>3667</v>
      </c>
    </row>
    <row r="13" spans="2:14">
      <c r="B13" s="1" t="s">
        <v>33</v>
      </c>
      <c r="C13" t="s">
        <v>34</v>
      </c>
      <c r="D13" t="s">
        <v>35</v>
      </c>
      <c r="E13" t="s">
        <v>36</v>
      </c>
      <c r="F13" s="2">
        <v>3704</v>
      </c>
      <c r="G13" s="2">
        <v>926</v>
      </c>
      <c r="I13" s="2">
        <v>370</v>
      </c>
      <c r="K13" s="2">
        <v>5000</v>
      </c>
      <c r="N13" s="2">
        <v>5000</v>
      </c>
    </row>
    <row r="14" spans="2:14">
      <c r="B14" s="1" t="s">
        <v>37</v>
      </c>
      <c r="C14" t="s">
        <v>38</v>
      </c>
      <c r="D14" t="s">
        <v>20</v>
      </c>
      <c r="E14" t="s">
        <v>21</v>
      </c>
      <c r="F14" s="2">
        <v>3704</v>
      </c>
      <c r="G14" s="2">
        <v>926</v>
      </c>
      <c r="I14" s="2">
        <v>370</v>
      </c>
      <c r="J14" s="2">
        <v>1000</v>
      </c>
      <c r="K14" s="2">
        <v>6000</v>
      </c>
      <c r="N14" s="2">
        <v>6000</v>
      </c>
    </row>
    <row r="15" spans="2:14">
      <c r="B15" s="1" t="s">
        <v>39</v>
      </c>
      <c r="C15" t="s">
        <v>40</v>
      </c>
      <c r="D15" t="s">
        <v>16</v>
      </c>
      <c r="E15" t="s">
        <v>36</v>
      </c>
      <c r="F15" s="2">
        <v>4815</v>
      </c>
      <c r="G15" s="2">
        <v>1204</v>
      </c>
      <c r="I15" s="2">
        <v>481</v>
      </c>
      <c r="K15" s="2">
        <v>6500</v>
      </c>
      <c r="N15" s="2">
        <v>6500</v>
      </c>
    </row>
    <row r="16" spans="2:14">
      <c r="B16" s="1" t="s">
        <v>41</v>
      </c>
      <c r="C16" t="s">
        <v>42</v>
      </c>
      <c r="D16" t="s">
        <v>16</v>
      </c>
      <c r="E16" t="s">
        <v>21</v>
      </c>
      <c r="F16" s="2">
        <v>4815</v>
      </c>
      <c r="G16" s="2">
        <v>1204</v>
      </c>
      <c r="I16" s="2">
        <v>481</v>
      </c>
      <c r="K16" s="2">
        <v>6500</v>
      </c>
      <c r="N16" s="2">
        <v>6500</v>
      </c>
    </row>
    <row r="17" spans="2:14">
      <c r="B17" s="1" t="s">
        <v>43</v>
      </c>
      <c r="C17" t="s">
        <v>44</v>
      </c>
      <c r="D17" t="s">
        <v>20</v>
      </c>
      <c r="E17" t="s">
        <v>21</v>
      </c>
      <c r="F17" s="2">
        <v>2963</v>
      </c>
      <c r="G17" s="2">
        <v>741</v>
      </c>
      <c r="I17" s="2">
        <v>296</v>
      </c>
      <c r="K17" s="2">
        <v>4000</v>
      </c>
      <c r="L17" s="2">
        <v>-333</v>
      </c>
      <c r="N17" s="2">
        <v>3667</v>
      </c>
    </row>
    <row r="18" spans="2:14">
      <c r="B18" s="1" t="s">
        <v>45</v>
      </c>
      <c r="C18" t="s">
        <v>46</v>
      </c>
      <c r="D18" t="s">
        <v>47</v>
      </c>
      <c r="E18" t="s">
        <v>21</v>
      </c>
      <c r="F18" s="2">
        <v>3704</v>
      </c>
      <c r="G18" s="2">
        <v>926</v>
      </c>
      <c r="H18" s="2">
        <v>1</v>
      </c>
      <c r="I18" s="2">
        <v>370</v>
      </c>
      <c r="J18" s="2">
        <v>999</v>
      </c>
      <c r="K18" s="2">
        <v>6000</v>
      </c>
      <c r="L18" s="2">
        <v>-500</v>
      </c>
      <c r="N18" s="2">
        <v>5500</v>
      </c>
    </row>
    <row r="19" spans="2:14">
      <c r="B19" s="1" t="s">
        <v>48</v>
      </c>
      <c r="C19" t="s">
        <v>49</v>
      </c>
      <c r="D19" t="s">
        <v>16</v>
      </c>
      <c r="E19" t="s">
        <v>21</v>
      </c>
      <c r="F19" s="2">
        <v>5925</v>
      </c>
      <c r="G19" s="2">
        <v>1482</v>
      </c>
      <c r="H19" s="2">
        <v>2667</v>
      </c>
      <c r="I19" s="2">
        <v>593</v>
      </c>
      <c r="J19" s="2">
        <v>2000</v>
      </c>
      <c r="K19" s="2">
        <v>12667</v>
      </c>
      <c r="L19" s="2">
        <v>-667</v>
      </c>
      <c r="M19" s="2">
        <v>-2000</v>
      </c>
      <c r="N19" s="2">
        <v>10000</v>
      </c>
    </row>
    <row r="20" spans="2:14">
      <c r="B20" s="1" t="s">
        <v>50</v>
      </c>
      <c r="C20" t="s">
        <v>51</v>
      </c>
      <c r="D20" t="s">
        <v>20</v>
      </c>
      <c r="E20" t="s">
        <v>21</v>
      </c>
      <c r="F20" s="2">
        <v>5925</v>
      </c>
      <c r="G20" s="2">
        <v>1482</v>
      </c>
      <c r="I20" s="2">
        <v>593</v>
      </c>
      <c r="J20" s="2">
        <v>1000</v>
      </c>
      <c r="K20" s="2">
        <v>9000</v>
      </c>
      <c r="L20" s="2">
        <v>-333</v>
      </c>
      <c r="N20" s="2">
        <v>8667</v>
      </c>
    </row>
    <row r="21" spans="2:14">
      <c r="B21" s="1" t="s">
        <v>52</v>
      </c>
      <c r="C21" t="s">
        <v>53</v>
      </c>
      <c r="D21" t="s">
        <v>16</v>
      </c>
      <c r="E21" t="s">
        <v>36</v>
      </c>
      <c r="F21" s="2">
        <v>11111</v>
      </c>
      <c r="G21" s="2">
        <v>2778</v>
      </c>
      <c r="I21" s="2">
        <v>1111</v>
      </c>
      <c r="K21" s="2">
        <v>15000</v>
      </c>
      <c r="M21" s="2">
        <v>-2333.33</v>
      </c>
      <c r="N21" s="2">
        <v>12666.67</v>
      </c>
    </row>
    <row r="22" spans="2:14">
      <c r="B22" s="1" t="s">
        <v>54</v>
      </c>
      <c r="C22" t="s">
        <v>55</v>
      </c>
      <c r="D22" t="s">
        <v>56</v>
      </c>
      <c r="E22" t="s">
        <v>36</v>
      </c>
      <c r="F22" s="2">
        <v>4074</v>
      </c>
      <c r="G22" s="2">
        <v>1019</v>
      </c>
      <c r="I22" s="2">
        <v>407</v>
      </c>
      <c r="K22" s="2">
        <v>5500</v>
      </c>
      <c r="N22" s="2">
        <v>5500</v>
      </c>
    </row>
    <row r="23" spans="2:14">
      <c r="B23" s="1" t="s">
        <v>57</v>
      </c>
      <c r="C23" t="s">
        <v>58</v>
      </c>
      <c r="D23" t="s">
        <v>16</v>
      </c>
      <c r="E23" t="s">
        <v>21</v>
      </c>
      <c r="F23" s="2">
        <v>4444</v>
      </c>
      <c r="G23" s="2">
        <v>1111</v>
      </c>
      <c r="I23" s="2">
        <v>445</v>
      </c>
      <c r="K23" s="2">
        <v>6000</v>
      </c>
      <c r="L23" s="2">
        <v>-611</v>
      </c>
      <c r="N23" s="2">
        <v>5389</v>
      </c>
    </row>
    <row r="24" spans="2:14">
      <c r="B24" s="1" t="s">
        <v>59</v>
      </c>
      <c r="C24" t="s">
        <v>60</v>
      </c>
      <c r="D24" t="s">
        <v>16</v>
      </c>
      <c r="E24" t="s">
        <v>36</v>
      </c>
      <c r="F24" s="2">
        <v>5926</v>
      </c>
      <c r="G24" s="2">
        <v>1481</v>
      </c>
      <c r="H24" s="2">
        <v>2000</v>
      </c>
      <c r="I24" s="2">
        <v>593</v>
      </c>
      <c r="K24" s="2">
        <v>10000</v>
      </c>
      <c r="M24" s="2">
        <v>-2000</v>
      </c>
      <c r="N24" s="2">
        <v>8000</v>
      </c>
    </row>
    <row r="25" spans="2:14">
      <c r="B25" s="1" t="s">
        <v>61</v>
      </c>
      <c r="C25" t="s">
        <v>62</v>
      </c>
      <c r="D25" t="s">
        <v>16</v>
      </c>
      <c r="E25" t="s">
        <v>21</v>
      </c>
      <c r="F25" s="2">
        <v>4847</v>
      </c>
      <c r="G25" s="2">
        <v>1212</v>
      </c>
      <c r="I25" s="2">
        <v>485</v>
      </c>
      <c r="K25" s="2">
        <v>6544</v>
      </c>
      <c r="L25" s="2">
        <v>-544</v>
      </c>
      <c r="M25" s="2">
        <v>-500</v>
      </c>
      <c r="N25" s="2">
        <v>5500</v>
      </c>
    </row>
    <row r="26" spans="2:14">
      <c r="B26" s="1" t="s">
        <v>63</v>
      </c>
      <c r="C26" t="s">
        <v>64</v>
      </c>
      <c r="D26" t="s">
        <v>16</v>
      </c>
      <c r="E26" t="s">
        <v>21</v>
      </c>
      <c r="F26" s="2">
        <v>6990</v>
      </c>
      <c r="G26" s="2">
        <v>1747</v>
      </c>
      <c r="I26" s="2">
        <v>699</v>
      </c>
      <c r="K26" s="2">
        <v>9436</v>
      </c>
      <c r="N26" s="2">
        <v>9436</v>
      </c>
    </row>
    <row r="27" spans="2:14">
      <c r="B27" s="1" t="s">
        <v>65</v>
      </c>
      <c r="C27" t="s">
        <v>66</v>
      </c>
      <c r="D27" t="s">
        <v>16</v>
      </c>
      <c r="E27" t="s">
        <v>21</v>
      </c>
      <c r="F27" s="2">
        <v>3703</v>
      </c>
      <c r="G27" s="2">
        <v>925</v>
      </c>
      <c r="I27" s="2">
        <v>372</v>
      </c>
      <c r="J27" s="2">
        <v>1500</v>
      </c>
      <c r="K27" s="2">
        <v>6500</v>
      </c>
      <c r="L27" s="2">
        <v>-417</v>
      </c>
      <c r="N27" s="2">
        <v>6083</v>
      </c>
    </row>
    <row r="28" spans="2:14">
      <c r="B28" s="1" t="s">
        <v>67</v>
      </c>
      <c r="C28" t="s">
        <v>68</v>
      </c>
      <c r="D28" t="s">
        <v>16</v>
      </c>
      <c r="E28" t="s">
        <v>21</v>
      </c>
      <c r="F28" s="2">
        <v>4815</v>
      </c>
      <c r="G28" s="2">
        <v>1204</v>
      </c>
      <c r="I28" s="2">
        <v>481</v>
      </c>
      <c r="J28" s="2">
        <v>1500</v>
      </c>
      <c r="K28" s="2">
        <v>8000</v>
      </c>
      <c r="L28" s="2">
        <v>-500</v>
      </c>
      <c r="N28" s="2">
        <v>7500</v>
      </c>
    </row>
    <row r="29" spans="2:14">
      <c r="B29" s="1" t="s">
        <v>69</v>
      </c>
      <c r="C29" t="s">
        <v>70</v>
      </c>
      <c r="D29" t="s">
        <v>27</v>
      </c>
      <c r="E29" t="s">
        <v>30</v>
      </c>
      <c r="F29" s="2">
        <v>1111</v>
      </c>
      <c r="G29" s="2">
        <v>278</v>
      </c>
      <c r="I29" s="2">
        <v>111</v>
      </c>
      <c r="K29" s="2">
        <v>1500</v>
      </c>
      <c r="N29" s="2">
        <v>1500</v>
      </c>
    </row>
    <row r="30" spans="2:14">
      <c r="B30" s="1" t="s">
        <v>71</v>
      </c>
      <c r="C30" t="s">
        <v>72</v>
      </c>
      <c r="D30" t="s">
        <v>27</v>
      </c>
      <c r="E30" t="s">
        <v>21</v>
      </c>
      <c r="F30" s="2">
        <v>1499</v>
      </c>
      <c r="I30" s="2">
        <v>1</v>
      </c>
      <c r="K30" s="2">
        <v>1500</v>
      </c>
      <c r="N30" s="2">
        <v>1500</v>
      </c>
    </row>
    <row r="31" spans="2:14">
      <c r="B31" s="1" t="s">
        <v>73</v>
      </c>
      <c r="C31" t="s">
        <v>74</v>
      </c>
      <c r="D31" t="s">
        <v>16</v>
      </c>
      <c r="E31" t="s">
        <v>21</v>
      </c>
      <c r="F31" s="2">
        <v>5185</v>
      </c>
      <c r="G31" s="2">
        <v>1296</v>
      </c>
      <c r="H31" s="2">
        <v>1000</v>
      </c>
      <c r="I31" s="2">
        <v>519</v>
      </c>
      <c r="J31" s="2">
        <v>3000</v>
      </c>
      <c r="K31" s="2">
        <v>11000</v>
      </c>
      <c r="L31" s="2">
        <v>-500</v>
      </c>
      <c r="N31" s="2">
        <v>10500</v>
      </c>
    </row>
    <row r="32" spans="2:14">
      <c r="B32" s="1" t="s">
        <v>75</v>
      </c>
      <c r="C32" t="s">
        <v>76</v>
      </c>
      <c r="D32" t="s">
        <v>77</v>
      </c>
      <c r="E32" t="s">
        <v>36</v>
      </c>
      <c r="F32" s="2">
        <v>3333</v>
      </c>
      <c r="G32" s="2">
        <v>834</v>
      </c>
      <c r="I32" s="2">
        <v>333</v>
      </c>
      <c r="J32" s="2">
        <v>500</v>
      </c>
      <c r="K32" s="2">
        <v>5000</v>
      </c>
      <c r="N32" s="2">
        <v>5000</v>
      </c>
    </row>
    <row r="33" spans="2:14">
      <c r="B33" s="1" t="s">
        <v>78</v>
      </c>
      <c r="C33" t="s">
        <v>79</v>
      </c>
      <c r="D33" t="s">
        <v>35</v>
      </c>
      <c r="E33" t="s">
        <v>21</v>
      </c>
      <c r="F33" s="2">
        <v>4444</v>
      </c>
      <c r="G33" s="2">
        <v>1111</v>
      </c>
      <c r="H33" s="2">
        <v>2000</v>
      </c>
      <c r="I33" s="2">
        <v>445</v>
      </c>
      <c r="J33" s="2">
        <v>2000</v>
      </c>
      <c r="K33" s="2">
        <v>10000</v>
      </c>
      <c r="L33" s="2">
        <v>-500</v>
      </c>
      <c r="N33" s="2">
        <v>9500</v>
      </c>
    </row>
    <row r="34" spans="2:14">
      <c r="B34" s="3" t="s">
        <v>80</v>
      </c>
      <c r="C34" s="4"/>
      <c r="D34" s="4"/>
      <c r="E34" s="4"/>
      <c r="F34" s="5">
        <f t="shared" ref="F34:N34" si="0">SUM(F5:F33)</f>
        <v>119627</v>
      </c>
      <c r="G34" s="5">
        <f t="shared" si="0"/>
        <v>29535</v>
      </c>
      <c r="H34" s="5">
        <f t="shared" si="0"/>
        <v>9668</v>
      </c>
      <c r="I34" s="5">
        <f t="shared" si="0"/>
        <v>11772</v>
      </c>
      <c r="J34" s="5">
        <f t="shared" si="0"/>
        <v>14249</v>
      </c>
      <c r="K34" s="5">
        <f t="shared" si="0"/>
        <v>184851</v>
      </c>
      <c r="L34" s="5">
        <f t="shared" si="0"/>
        <v>-6324</v>
      </c>
      <c r="M34" s="5">
        <f t="shared" si="0"/>
        <v>-6833.33</v>
      </c>
      <c r="N34" s="5">
        <f t="shared" si="0"/>
        <v>171693.66999999998</v>
      </c>
    </row>
  </sheetData>
  <mergeCells count="1">
    <mergeCell ref="B2:N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rightToLeft="1" workbookViewId="0"/>
  </sheetViews>
  <sheetFormatPr defaultRowHeight="15"/>
  <cols>
    <col min="2" max="2" width="13.140625" customWidth="1"/>
    <col min="3" max="3" width="16.42578125" customWidth="1"/>
    <col min="4" max="4" width="30.85546875" customWidth="1"/>
    <col min="5" max="5" width="14.28515625" customWidth="1"/>
  </cols>
  <sheetData>
    <row r="2" spans="2:5">
      <c r="B2" s="6" t="s">
        <v>81</v>
      </c>
      <c r="C2" s="7" t="s">
        <v>81</v>
      </c>
      <c r="D2" s="7" t="s">
        <v>81</v>
      </c>
      <c r="E2" s="8" t="s">
        <v>81</v>
      </c>
    </row>
    <row r="3" spans="2:5">
      <c r="B3" s="9" t="s">
        <v>81</v>
      </c>
      <c r="C3" s="10" t="s">
        <v>81</v>
      </c>
      <c r="D3" s="10" t="s">
        <v>81</v>
      </c>
      <c r="E3" s="11" t="s">
        <v>81</v>
      </c>
    </row>
    <row r="5" spans="2:5">
      <c r="B5" t="s">
        <v>1</v>
      </c>
      <c r="C5" t="s">
        <v>2</v>
      </c>
      <c r="D5" t="s">
        <v>82</v>
      </c>
      <c r="E5" t="s">
        <v>83</v>
      </c>
    </row>
    <row r="6" spans="2:5">
      <c r="B6" s="1" t="s">
        <v>84</v>
      </c>
      <c r="C6" t="s">
        <v>85</v>
      </c>
      <c r="D6" t="s">
        <v>86</v>
      </c>
    </row>
  </sheetData>
  <mergeCells count="1">
    <mergeCell ref="B2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Excluded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Adnan Abu Hameed</dc:creator>
  <cp:lastModifiedBy>Dr. Adnan Abu Hameed</cp:lastModifiedBy>
  <dcterms:created xsi:type="dcterms:W3CDTF">2026-10-28T10:24:45Z</dcterms:created>
  <dcterms:modified xsi:type="dcterms:W3CDTF">2026-10-28T10:24:45Z</dcterms:modified>
</cp:coreProperties>
</file>